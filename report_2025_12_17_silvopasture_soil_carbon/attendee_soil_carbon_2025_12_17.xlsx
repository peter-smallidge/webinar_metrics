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s23\Documents\R\webinar_data\report_2025_12_17_silvopasture_soil_carbon\"/>
    </mc:Choice>
  </mc:AlternateContent>
  <xr:revisionPtr revIDLastSave="0" documentId="8_{67363C95-1867-42DF-8DF8-01721FF95369}" xr6:coauthVersionLast="47" xr6:coauthVersionMax="47" xr10:uidLastSave="{00000000-0000-0000-0000-000000000000}"/>
  <bookViews>
    <workbookView xWindow="-120" yWindow="-120" windowWidth="29040" windowHeight="17520" activeTab="1" xr2:uid="{37F2FE77-8A74-437B-B7A3-C34B6DA10F46}"/>
  </bookViews>
  <sheets>
    <sheet name="attendee_629239641_2025_12_17" sheetId="1" r:id="rId1"/>
    <sheet name="full_cleaned" sheetId="2" r:id="rId2"/>
  </sheets>
  <calcPr calcId="0"/>
</workbook>
</file>

<file path=xl/calcChain.xml><?xml version="1.0" encoding="utf-8"?>
<calcChain xmlns="http://schemas.openxmlformats.org/spreadsheetml/2006/main">
  <c r="F197" i="2" l="1"/>
  <c r="F193" i="2"/>
  <c r="G53" i="1"/>
  <c r="G154" i="1"/>
  <c r="G174" i="1"/>
  <c r="G231" i="1"/>
  <c r="G235" i="1"/>
</calcChain>
</file>

<file path=xl/sharedStrings.xml><?xml version="1.0" encoding="utf-8"?>
<sst xmlns="http://schemas.openxmlformats.org/spreadsheetml/2006/main" count="6323" uniqueCount="1208">
  <si>
    <t>Attendee Report</t>
  </si>
  <si>
    <t>Report generated time</t>
  </si>
  <si>
    <t>Topic</t>
  </si>
  <si>
    <t>Webinar ID</t>
  </si>
  <si>
    <t>Actual Start Time</t>
  </si>
  <si>
    <t>Actual Duration (minutes)</t>
  </si>
  <si>
    <t># Registrants</t>
  </si>
  <si>
    <t># Cancelled registrants</t>
  </si>
  <si>
    <t>Unique Viewers</t>
  </si>
  <si>
    <t>Total Users</t>
  </si>
  <si>
    <t>Max Concurrent Views</t>
  </si>
  <si>
    <t>Enable Registration</t>
  </si>
  <si>
    <t>Silvopasture and Carbon: The Impacts of Adding Trees to Pasture</t>
  </si>
  <si>
    <t>629 239 641</t>
  </si>
  <si>
    <t>Yes</t>
  </si>
  <si>
    <t>Host Details</t>
  </si>
  <si>
    <t>Attended</t>
  </si>
  <si>
    <t>User Name (Original Name)</t>
  </si>
  <si>
    <t>Email</t>
  </si>
  <si>
    <t>Join Time</t>
  </si>
  <si>
    <t>Leave Time</t>
  </si>
  <si>
    <t>Time in Session (minutes)</t>
  </si>
  <si>
    <t>Is Guest</t>
  </si>
  <si>
    <t>Country/Region Name</t>
  </si>
  <si>
    <t>Peter Smallidge</t>
  </si>
  <si>
    <t>pjs23@cornell.edu</t>
  </si>
  <si>
    <t>No</t>
  </si>
  <si>
    <t>United States</t>
  </si>
  <si>
    <t>Panelist Details</t>
  </si>
  <si>
    <t>Joseph Orefice</t>
  </si>
  <si>
    <t>joseph.orefice@yale.edu</t>
  </si>
  <si>
    <t>Attendee Details</t>
  </si>
  <si>
    <t>First Name</t>
  </si>
  <si>
    <t>Last Name</t>
  </si>
  <si>
    <t>Country/Region</t>
  </si>
  <si>
    <t>Zip/Postal Code</t>
  </si>
  <si>
    <t>State/Province</t>
  </si>
  <si>
    <t>Registration Time</t>
  </si>
  <si>
    <t>Approval Status</t>
  </si>
  <si>
    <t>What is your perspective as a participant in the webinar?</t>
  </si>
  <si>
    <t>Do you want documentation for Continuing Education Units/Credits?</t>
  </si>
  <si>
    <t>How many acres do you own or manage each year (numbers only, no words, letters or punctuation)</t>
  </si>
  <si>
    <t>Would you like to receive notice of future ForestConnect webinars?</t>
  </si>
  <si>
    <t>Steve Winicker</t>
  </si>
  <si>
    <t>Steve</t>
  </si>
  <si>
    <t>Winicker</t>
  </si>
  <si>
    <t>winicker46534@embarqmail.com</t>
  </si>
  <si>
    <t>US</t>
  </si>
  <si>
    <t>IN</t>
  </si>
  <si>
    <t>approved</t>
  </si>
  <si>
    <t>Forester</t>
  </si>
  <si>
    <t>No, I do not want or need documentation</t>
  </si>
  <si>
    <t>I already receive notices by email</t>
  </si>
  <si>
    <t>Marc Tremblay</t>
  </si>
  <si>
    <t>Marc</t>
  </si>
  <si>
    <t>Tremblay</t>
  </si>
  <si>
    <t>landmgmtserv@gmail.com</t>
  </si>
  <si>
    <t>02859</t>
  </si>
  <si>
    <t>RI</t>
  </si>
  <si>
    <t>Forester (CF, and LF or RF)</t>
  </si>
  <si>
    <t>Michael Huneke</t>
  </si>
  <si>
    <t>Michael</t>
  </si>
  <si>
    <t>Huneke</t>
  </si>
  <si>
    <t>michael.huneke@usda.gov</t>
  </si>
  <si>
    <t>MD</t>
  </si>
  <si>
    <t>Joe Smith</t>
  </si>
  <si>
    <t>Joe</t>
  </si>
  <si>
    <t>Smith</t>
  </si>
  <si>
    <t>joesmith@woodsmaninc.com</t>
  </si>
  <si>
    <t>01331</t>
  </si>
  <si>
    <t>MA</t>
  </si>
  <si>
    <t>Forester (LF or RF, not CF)</t>
  </si>
  <si>
    <t>Dustin Meny</t>
  </si>
  <si>
    <t>Dustin</t>
  </si>
  <si>
    <t>Meny</t>
  </si>
  <si>
    <t>dustin.meny@dec.ny.gov</t>
  </si>
  <si>
    <t>NY</t>
  </si>
  <si>
    <t>Agency or Institution</t>
  </si>
  <si>
    <t>Richard Root</t>
  </si>
  <si>
    <t>Richard</t>
  </si>
  <si>
    <t>Root</t>
  </si>
  <si>
    <t>rich@vermontforestworks.com</t>
  </si>
  <si>
    <t>05156</t>
  </si>
  <si>
    <t>VT</t>
  </si>
  <si>
    <t>K Conway</t>
  </si>
  <si>
    <t>K</t>
  </si>
  <si>
    <t>Conway</t>
  </si>
  <si>
    <t>conway.silver@yahoo.com</t>
  </si>
  <si>
    <t>Woodland Owner</t>
  </si>
  <si>
    <t>Scott Danner</t>
  </si>
  <si>
    <t>Scott</t>
  </si>
  <si>
    <t>Danner</t>
  </si>
  <si>
    <t>yamabrew@mac.com</t>
  </si>
  <si>
    <t>Grazier</t>
  </si>
  <si>
    <t>Barbara Bailey</t>
  </si>
  <si>
    <t>Barbara</t>
  </si>
  <si>
    <t>Bailey</t>
  </si>
  <si>
    <t>bbarbara@vt.edu</t>
  </si>
  <si>
    <t>VA</t>
  </si>
  <si>
    <t>Educator</t>
  </si>
  <si>
    <t>Dustin Wood</t>
  </si>
  <si>
    <t>Wood</t>
  </si>
  <si>
    <t>dmwood@nyseg.com</t>
  </si>
  <si>
    <t>Forester (CF, not LF or RF)</t>
  </si>
  <si>
    <t>Tom Colarusso</t>
  </si>
  <si>
    <t>Tom</t>
  </si>
  <si>
    <t>Colarusso</t>
  </si>
  <si>
    <t>thomas.w.colarusso@usda.gov</t>
  </si>
  <si>
    <t>Robert Wigmore</t>
  </si>
  <si>
    <t>Robert</t>
  </si>
  <si>
    <t>Wigmore</t>
  </si>
  <si>
    <t>Rwigmore2078@gmail.com</t>
  </si>
  <si>
    <t>01330</t>
  </si>
  <si>
    <t>Yes, please add me to the distribution list for webinars</t>
  </si>
  <si>
    <t>Lucy Joyce</t>
  </si>
  <si>
    <t>Lucy</t>
  </si>
  <si>
    <t>Joyce</t>
  </si>
  <si>
    <t>ltj1@cornell.edu</t>
  </si>
  <si>
    <t>Peter Koza</t>
  </si>
  <si>
    <t>Peter</t>
  </si>
  <si>
    <t>Koza</t>
  </si>
  <si>
    <t>petermkoza@gmail.com</t>
  </si>
  <si>
    <t>07826</t>
  </si>
  <si>
    <t>NJ</t>
  </si>
  <si>
    <t>Tim Sheldon</t>
  </si>
  <si>
    <t>Tim</t>
  </si>
  <si>
    <t>Sheldon</t>
  </si>
  <si>
    <t>timothy.sheldon@agriculture.ny.gov</t>
  </si>
  <si>
    <t>Charlize Katzenbach</t>
  </si>
  <si>
    <t>Charlize</t>
  </si>
  <si>
    <t>Katzenbach</t>
  </si>
  <si>
    <t>4charlizebk@gmail.com</t>
  </si>
  <si>
    <t>08525</t>
  </si>
  <si>
    <t>Peter Woodbury</t>
  </si>
  <si>
    <t>Woodbury</t>
  </si>
  <si>
    <t>pbw1@cornell.edu</t>
  </si>
  <si>
    <t>Other</t>
  </si>
  <si>
    <t>Charles Koch</t>
  </si>
  <si>
    <t>Charles</t>
  </si>
  <si>
    <t>Koch</t>
  </si>
  <si>
    <t>chaskoch@comcast.net</t>
  </si>
  <si>
    <t>03452</t>
  </si>
  <si>
    <t>NH</t>
  </si>
  <si>
    <t>Paul Robertson, Niagara</t>
  </si>
  <si>
    <t>Paul</t>
  </si>
  <si>
    <t>Robertson, Niagara</t>
  </si>
  <si>
    <t>paul@treesunlimited.ca</t>
  </si>
  <si>
    <t>CA</t>
  </si>
  <si>
    <t>L3B5N4</t>
  </si>
  <si>
    <t>ON</t>
  </si>
  <si>
    <t>Canada</t>
  </si>
  <si>
    <t>Dennis Mengel</t>
  </si>
  <si>
    <t>Dennis</t>
  </si>
  <si>
    <t>Mengel</t>
  </si>
  <si>
    <t>denny.mengel@jacobs.com</t>
  </si>
  <si>
    <t>ID</t>
  </si>
  <si>
    <t>Natural Resources Specialist</t>
  </si>
  <si>
    <t>George Maltezos</t>
  </si>
  <si>
    <t xml:space="preserve">George </t>
  </si>
  <si>
    <t xml:space="preserve">Maltezos </t>
  </si>
  <si>
    <t>gmm025@gmail.com</t>
  </si>
  <si>
    <t>Norman Pattison</t>
  </si>
  <si>
    <t>Norman</t>
  </si>
  <si>
    <t>Pattison</t>
  </si>
  <si>
    <t>npattison@worldconnx.net</t>
  </si>
  <si>
    <t>PA</t>
  </si>
  <si>
    <t>Julie Julie</t>
  </si>
  <si>
    <t>Julie</t>
  </si>
  <si>
    <t>julie.davenport@maine.gov</t>
  </si>
  <si>
    <t>04263</t>
  </si>
  <si>
    <t>ME</t>
  </si>
  <si>
    <t>Alison Guinness</t>
  </si>
  <si>
    <t>Alison</t>
  </si>
  <si>
    <t>Guinness</t>
  </si>
  <si>
    <t>wjguinness@snet.net</t>
  </si>
  <si>
    <t>06423</t>
  </si>
  <si>
    <t>CT</t>
  </si>
  <si>
    <t>NGO</t>
  </si>
  <si>
    <t>justin holmes</t>
  </si>
  <si>
    <t>justin</t>
  </si>
  <si>
    <t>holmes</t>
  </si>
  <si>
    <t>justin.holmes@mdc.mo.gov</t>
  </si>
  <si>
    <t>MO</t>
  </si>
  <si>
    <t>Rosemary Lee</t>
  </si>
  <si>
    <t>Rosemary</t>
  </si>
  <si>
    <t>Lee</t>
  </si>
  <si>
    <t>Enviro3232@aol.com</t>
  </si>
  <si>
    <t>10 however on land committee</t>
  </si>
  <si>
    <t>Adam Wild</t>
  </si>
  <si>
    <t>Adam</t>
  </si>
  <si>
    <t>Wild</t>
  </si>
  <si>
    <t>adw94@cornell.edu</t>
  </si>
  <si>
    <t>Timothy Fenstermacher</t>
  </si>
  <si>
    <t>Timothy</t>
  </si>
  <si>
    <t>Fenstermacher</t>
  </si>
  <si>
    <t>tsfenstermacher@gmail.com</t>
  </si>
  <si>
    <t>Brian Knox</t>
  </si>
  <si>
    <t>Brian</t>
  </si>
  <si>
    <t>Knox</t>
  </si>
  <si>
    <t>Forests@earthlink.net</t>
  </si>
  <si>
    <t>Robert Halbohm</t>
  </si>
  <si>
    <t>Halbohm</t>
  </si>
  <si>
    <t>robert.halbohm@gmail.com</t>
  </si>
  <si>
    <t>D. Gorddon MOTT</t>
  </si>
  <si>
    <t>D. Gorddon</t>
  </si>
  <si>
    <t>MOTT</t>
  </si>
  <si>
    <t>forester@almanacmtn.us</t>
  </si>
  <si>
    <t>ROBERT MAZUR</t>
  </si>
  <si>
    <t>ROBERT</t>
  </si>
  <si>
    <t>MAZUR</t>
  </si>
  <si>
    <t>emazur@nc.rr.com</t>
  </si>
  <si>
    <t>NC</t>
  </si>
  <si>
    <t>David Tschinkel</t>
  </si>
  <si>
    <t>David</t>
  </si>
  <si>
    <t>Tschinkel</t>
  </si>
  <si>
    <t>dtschinkel57@gmail.com</t>
  </si>
  <si>
    <t>Trained (Master) Volunteer</t>
  </si>
  <si>
    <t>Gary Kochersberger</t>
  </si>
  <si>
    <t>Gary</t>
  </si>
  <si>
    <t>Kochersberger</t>
  </si>
  <si>
    <t>gkochersberger@gmail.com</t>
  </si>
  <si>
    <t>kevin schrader</t>
  </si>
  <si>
    <t>kevin</t>
  </si>
  <si>
    <t>schrader</t>
  </si>
  <si>
    <t>Pilzforestfarm@icloud.com</t>
  </si>
  <si>
    <t>Logger/Forest Practitioner</t>
  </si>
  <si>
    <t>Aaron Hurst</t>
  </si>
  <si>
    <t>Aaron</t>
  </si>
  <si>
    <t>Hurst</t>
  </si>
  <si>
    <t>aaron.hurst@vermont.gov</t>
  </si>
  <si>
    <t>David Irving</t>
  </si>
  <si>
    <t>Irving</t>
  </si>
  <si>
    <t>davidshelterwoodmaine@gmail.com</t>
  </si>
  <si>
    <t>04401</t>
  </si>
  <si>
    <t>John Martello</t>
  </si>
  <si>
    <t>John</t>
  </si>
  <si>
    <t>Martello</t>
  </si>
  <si>
    <t>tmartello@baltimorecity.gov</t>
  </si>
  <si>
    <t>Bob Coupal</t>
  </si>
  <si>
    <t>Bob</t>
  </si>
  <si>
    <t>Coupal</t>
  </si>
  <si>
    <t>bob@gompc.net</t>
  </si>
  <si>
    <t>Rosa Goldman</t>
  </si>
  <si>
    <t>Rosa</t>
  </si>
  <si>
    <t>Goldman</t>
  </si>
  <si>
    <t>rosa.goldman@audubon.org</t>
  </si>
  <si>
    <t>06514</t>
  </si>
  <si>
    <t>Kass Urban-Mead</t>
  </si>
  <si>
    <t>Kass</t>
  </si>
  <si>
    <t>Urban-Mead</t>
  </si>
  <si>
    <t>kass.urban-mead@xerces.org</t>
  </si>
  <si>
    <t>Donald DuBois</t>
  </si>
  <si>
    <t>Donald</t>
  </si>
  <si>
    <t>DuBois</t>
  </si>
  <si>
    <t>duboisforestry@gmail.com</t>
  </si>
  <si>
    <t>06234</t>
  </si>
  <si>
    <t>Sajja Panta</t>
  </si>
  <si>
    <t>Sajja</t>
  </si>
  <si>
    <t>Panta</t>
  </si>
  <si>
    <t>Sajja.panta@unh.edu</t>
  </si>
  <si>
    <t>03820</t>
  </si>
  <si>
    <t>JAMES SHULER</t>
  </si>
  <si>
    <t>JAMES</t>
  </si>
  <si>
    <t>SHULER</t>
  </si>
  <si>
    <t>j.f.shuler@gmail.com</t>
  </si>
  <si>
    <t>Catherine Landis</t>
  </si>
  <si>
    <t>Catherine</t>
  </si>
  <si>
    <t>Landis</t>
  </si>
  <si>
    <t>cllandis@syr.edu</t>
  </si>
  <si>
    <t>Dennis Morin</t>
  </si>
  <si>
    <t>Morin</t>
  </si>
  <si>
    <t>dennismorin@comcast.net</t>
  </si>
  <si>
    <t>01088</t>
  </si>
  <si>
    <t>Frank Welte</t>
  </si>
  <si>
    <t>Frank</t>
  </si>
  <si>
    <t>Welte</t>
  </si>
  <si>
    <t>frankwelte22@yahoo.com</t>
  </si>
  <si>
    <t>Alex Barrett</t>
  </si>
  <si>
    <t>Alex</t>
  </si>
  <si>
    <t>Barrett</t>
  </si>
  <si>
    <t>abarrett@longviewforest.com</t>
  </si>
  <si>
    <t>05158</t>
  </si>
  <si>
    <t>Kate MacFarland</t>
  </si>
  <si>
    <t xml:space="preserve">Kate </t>
  </si>
  <si>
    <t>MacFarland</t>
  </si>
  <si>
    <t>katherine.macfarland@usda.gov</t>
  </si>
  <si>
    <t>05405</t>
  </si>
  <si>
    <t>Ben Roosa</t>
  </si>
  <si>
    <t>Ben</t>
  </si>
  <si>
    <t>Roosa</t>
  </si>
  <si>
    <t>broosa@farmland.org</t>
  </si>
  <si>
    <t>Joseph Slezak</t>
  </si>
  <si>
    <t>Joseph</t>
  </si>
  <si>
    <t>Slezak</t>
  </si>
  <si>
    <t>joseph.slezak@ny.nacdnet.net</t>
  </si>
  <si>
    <t>Mark Kasinskas</t>
  </si>
  <si>
    <t>Mark</t>
  </si>
  <si>
    <t>Kasinskas</t>
  </si>
  <si>
    <t>mkasinskas@burnsmcd.com</t>
  </si>
  <si>
    <t>06410</t>
  </si>
  <si>
    <t>Logger, Harvester, or Practitioner</t>
  </si>
  <si>
    <t>Joshua Greene</t>
  </si>
  <si>
    <t>Joshua</t>
  </si>
  <si>
    <t>Greene</t>
  </si>
  <si>
    <t>joshua@treesforgraziers.com</t>
  </si>
  <si>
    <t>Stanko Sego</t>
  </si>
  <si>
    <t xml:space="preserve">Stanko </t>
  </si>
  <si>
    <t xml:space="preserve">Sego </t>
  </si>
  <si>
    <t>Segostanko@yahoo.com</t>
  </si>
  <si>
    <t>IL</t>
  </si>
  <si>
    <t>Richard Bowen</t>
  </si>
  <si>
    <t>Bowen</t>
  </si>
  <si>
    <t>aecbowen@yahoo.com</t>
  </si>
  <si>
    <t>06242</t>
  </si>
  <si>
    <t>Christine Bubar Christine Bubar</t>
  </si>
  <si>
    <t>Christine Bubar</t>
  </si>
  <si>
    <t>cbubar@gmail.com</t>
  </si>
  <si>
    <t>04666</t>
  </si>
  <si>
    <t>Steve Gabriel</t>
  </si>
  <si>
    <t>Gabriel</t>
  </si>
  <si>
    <t>stevegabrielfarmer@gmail.com</t>
  </si>
  <si>
    <t>Scott Mueller</t>
  </si>
  <si>
    <t>Mueller</t>
  </si>
  <si>
    <t>scotta.mueller@wisconsin.gov</t>
  </si>
  <si>
    <t>WI</t>
  </si>
  <si>
    <t>Isaac Matlock</t>
  </si>
  <si>
    <t>Isaac</t>
  </si>
  <si>
    <t>Matlock</t>
  </si>
  <si>
    <t>ism29@cornell.edu</t>
  </si>
  <si>
    <t>Jeff Piestrak</t>
  </si>
  <si>
    <t>Jeff</t>
  </si>
  <si>
    <t>Piestrak</t>
  </si>
  <si>
    <t>jeff@flxagroforestry.com</t>
  </si>
  <si>
    <t>Jonathan Bates</t>
  </si>
  <si>
    <t>Jonathan</t>
  </si>
  <si>
    <t>Bates</t>
  </si>
  <si>
    <t>jb2663@cornell.edu</t>
  </si>
  <si>
    <t>Matt Bunger</t>
  </si>
  <si>
    <t>Matt</t>
  </si>
  <si>
    <t>Bunger</t>
  </si>
  <si>
    <t>matt.bunger@usda.gov</t>
  </si>
  <si>
    <t>Carl DuPoldt</t>
  </si>
  <si>
    <t>Carl</t>
  </si>
  <si>
    <t>DuPoldt</t>
  </si>
  <si>
    <t>cdupoldt@yahoo.com</t>
  </si>
  <si>
    <t>Gary Wyatt</t>
  </si>
  <si>
    <t>Wyatt</t>
  </si>
  <si>
    <t>wyatt@umn.edu</t>
  </si>
  <si>
    <t>MN</t>
  </si>
  <si>
    <t>L Singley</t>
  </si>
  <si>
    <t>L</t>
  </si>
  <si>
    <t>Singley</t>
  </si>
  <si>
    <t>Bearlin@pa.net</t>
  </si>
  <si>
    <t>David Engen</t>
  </si>
  <si>
    <t>Engen</t>
  </si>
  <si>
    <t>davebengen@gmail.com</t>
  </si>
  <si>
    <t>Sally Leong</t>
  </si>
  <si>
    <t>Sally</t>
  </si>
  <si>
    <t>Leong</t>
  </si>
  <si>
    <t>saleong@wisc.edu</t>
  </si>
  <si>
    <t>Erica MacDonald</t>
  </si>
  <si>
    <t>Erica</t>
  </si>
  <si>
    <t>MacDonald</t>
  </si>
  <si>
    <t>ecmacdonald@gov.pe.ca</t>
  </si>
  <si>
    <t>C0A2B0</t>
  </si>
  <si>
    <t>PE</t>
  </si>
  <si>
    <t>James Swimelar</t>
  </si>
  <si>
    <t>James</t>
  </si>
  <si>
    <t>Swimelar</t>
  </si>
  <si>
    <t>Jswimelar@gmail.com</t>
  </si>
  <si>
    <t>Tom Sauer</t>
  </si>
  <si>
    <t>Sauer</t>
  </si>
  <si>
    <t>thomas.sauer@usda.gov</t>
  </si>
  <si>
    <t>Doug Cook</t>
  </si>
  <si>
    <t>Doug</t>
  </si>
  <si>
    <t>Cook</t>
  </si>
  <si>
    <t>douglaslcook@me.com</t>
  </si>
  <si>
    <t>01921</t>
  </si>
  <si>
    <t>Carl Mierek</t>
  </si>
  <si>
    <t>Mierek</t>
  </si>
  <si>
    <t>cm2273@cornell.edu</t>
  </si>
  <si>
    <t>Darryl Stoltz</t>
  </si>
  <si>
    <t>Darryl</t>
  </si>
  <si>
    <t>Stoltz</t>
  </si>
  <si>
    <t>dstoltz@gov.pe.ca</t>
  </si>
  <si>
    <t>C0A 1C0</t>
  </si>
  <si>
    <t>Caleb Langworthy</t>
  </si>
  <si>
    <t xml:space="preserve">Caleb </t>
  </si>
  <si>
    <t xml:space="preserve">Langworthy </t>
  </si>
  <si>
    <t>Caleb@savannainstitute.org</t>
  </si>
  <si>
    <t>Eric Potash</t>
  </si>
  <si>
    <t>Eric</t>
  </si>
  <si>
    <t>Potash</t>
  </si>
  <si>
    <t>eric@k2co3.net</t>
  </si>
  <si>
    <t>07302</t>
  </si>
  <si>
    <t>Ben Boo</t>
  </si>
  <si>
    <t>Boo</t>
  </si>
  <si>
    <t>bboo@greatrivergreening.org</t>
  </si>
  <si>
    <t>Daniel Johnson</t>
  </si>
  <si>
    <t>Daniel</t>
  </si>
  <si>
    <t>Johnson</t>
  </si>
  <si>
    <t>owners@foursquarefarm.us</t>
  </si>
  <si>
    <t>Anna Rycroft</t>
  </si>
  <si>
    <t>Anna</t>
  </si>
  <si>
    <t>Rycroft</t>
  </si>
  <si>
    <t>rycroft64@gmail.com</t>
  </si>
  <si>
    <t>J0S1H0</t>
  </si>
  <si>
    <t>QC</t>
  </si>
  <si>
    <t>DAVE RICHARD</t>
  </si>
  <si>
    <t>DAVE</t>
  </si>
  <si>
    <t>RICHARD</t>
  </si>
  <si>
    <t>rusretfm@gmail.com</t>
  </si>
  <si>
    <t>01379</t>
  </si>
  <si>
    <t>Michael Karcher</t>
  </si>
  <si>
    <t>Karcher</t>
  </si>
  <si>
    <t>karcher@hamiltoncom.net</t>
  </si>
  <si>
    <t>Travis Downey</t>
  </si>
  <si>
    <t>Travis</t>
  </si>
  <si>
    <t>Downey</t>
  </si>
  <si>
    <t>td41@sbcglobal.net</t>
  </si>
  <si>
    <t>06063</t>
  </si>
  <si>
    <t>Claire Mann</t>
  </si>
  <si>
    <t>Claire</t>
  </si>
  <si>
    <t>Mann</t>
  </si>
  <si>
    <t>claire.mann@audubon.org</t>
  </si>
  <si>
    <t>10, 000</t>
  </si>
  <si>
    <t>Steve Hagenbuch</t>
  </si>
  <si>
    <t>Hagenbuch</t>
  </si>
  <si>
    <t>steve.hagenbuch@audubon.org</t>
  </si>
  <si>
    <t>05677</t>
  </si>
  <si>
    <t>Lynn Bliven</t>
  </si>
  <si>
    <t>Lynn</t>
  </si>
  <si>
    <t>Bliven</t>
  </si>
  <si>
    <t>lao3@cornell.edu</t>
  </si>
  <si>
    <t>Marilyn Wyman</t>
  </si>
  <si>
    <t xml:space="preserve">Marilyn </t>
  </si>
  <si>
    <t xml:space="preserve">Wyman </t>
  </si>
  <si>
    <t>Mfwyman121@gmail.com</t>
  </si>
  <si>
    <t>Tim Silva</t>
  </si>
  <si>
    <t>Silva</t>
  </si>
  <si>
    <t>tim.silva.978@gmail.com</t>
  </si>
  <si>
    <t>01062</t>
  </si>
  <si>
    <t>Robert Ripp</t>
  </si>
  <si>
    <t>Ripp</t>
  </si>
  <si>
    <t>robert.ripp@dec.ny.gov</t>
  </si>
  <si>
    <t>Brad Bordewieck</t>
  </si>
  <si>
    <t>Brad</t>
  </si>
  <si>
    <t>Bordewieck</t>
  </si>
  <si>
    <t>Brad.bordewieck@comcast.net</t>
  </si>
  <si>
    <t>01337</t>
  </si>
  <si>
    <t>William Schroeder</t>
  </si>
  <si>
    <t>William</t>
  </si>
  <si>
    <t>Schroeder</t>
  </si>
  <si>
    <t>bjschroeder2002@yahoo.com</t>
  </si>
  <si>
    <t>OR</t>
  </si>
  <si>
    <t>Toby Alexander</t>
  </si>
  <si>
    <t>Toby</t>
  </si>
  <si>
    <t>Alexander</t>
  </si>
  <si>
    <t>toby.alexander@usda.gov</t>
  </si>
  <si>
    <t>05446</t>
  </si>
  <si>
    <t>Jose David Duarte</t>
  </si>
  <si>
    <t xml:space="preserve">Jose David </t>
  </si>
  <si>
    <t xml:space="preserve">Duarte </t>
  </si>
  <si>
    <t>Fivebrotherslandscaping@gmail.com</t>
  </si>
  <si>
    <t>Ramona Shackleford</t>
  </si>
  <si>
    <t>Ramona</t>
  </si>
  <si>
    <t>Shackleford</t>
  </si>
  <si>
    <t>ramona.shackleford@bayfieldcounty.wi.gov</t>
  </si>
  <si>
    <t>No, do not add me to the distribution list (Note - this won't remove you if you're already subscribed)</t>
  </si>
  <si>
    <t>L Stickle</t>
  </si>
  <si>
    <t>Stickle</t>
  </si>
  <si>
    <t>lstickle@bard.edu</t>
  </si>
  <si>
    <t>Rosemary Wood</t>
  </si>
  <si>
    <t>rw754@cornell.edu</t>
  </si>
  <si>
    <t>Zachary Traylor</t>
  </si>
  <si>
    <t>Zachary</t>
  </si>
  <si>
    <t>Traylor</t>
  </si>
  <si>
    <t>zachary.traylor@usda.gov</t>
  </si>
  <si>
    <t>KY</t>
  </si>
  <si>
    <t>Peter Tucker</t>
  </si>
  <si>
    <t>Tucker</t>
  </si>
  <si>
    <t>tuckerforestry@gmail.com</t>
  </si>
  <si>
    <t>01266</t>
  </si>
  <si>
    <t>Nancy Marek</t>
  </si>
  <si>
    <t>Nancy</t>
  </si>
  <si>
    <t>Marek</t>
  </si>
  <si>
    <t>nancy.marek@tnc.org</t>
  </si>
  <si>
    <t>01247</t>
  </si>
  <si>
    <t>David Reckahn</t>
  </si>
  <si>
    <t>Reckahn</t>
  </si>
  <si>
    <t>david.reckahn@ny.nacdnet.net</t>
  </si>
  <si>
    <t>Z Kabir</t>
  </si>
  <si>
    <t>Z</t>
  </si>
  <si>
    <t>Kabir</t>
  </si>
  <si>
    <t>zahangir.kabir@usda.gov</t>
  </si>
  <si>
    <t>Barbara Lucas</t>
  </si>
  <si>
    <t>Lucas</t>
  </si>
  <si>
    <t>barbara.lucas@dec.ny.gov</t>
  </si>
  <si>
    <t>Greg Brickner</t>
  </si>
  <si>
    <t>Greg</t>
  </si>
  <si>
    <t>Brickner</t>
  </si>
  <si>
    <t>greg.brickner@gmail.com</t>
  </si>
  <si>
    <t>Kevin Budd</t>
  </si>
  <si>
    <t>Kevin</t>
  </si>
  <si>
    <t>Budd</t>
  </si>
  <si>
    <t>kevinb207@protonmail.com</t>
  </si>
  <si>
    <t>E7N 2N2</t>
  </si>
  <si>
    <t>NB</t>
  </si>
  <si>
    <t>FRANK SHIRLEY</t>
  </si>
  <si>
    <t>FRANK</t>
  </si>
  <si>
    <t>SHIRLEY</t>
  </si>
  <si>
    <t>FrankCShirley@outlook.com</t>
  </si>
  <si>
    <t>WA</t>
  </si>
  <si>
    <t>William Krazinski</t>
  </si>
  <si>
    <t>Krazinski</t>
  </si>
  <si>
    <t>wkrazi@yahoo.com</t>
  </si>
  <si>
    <t>Maple Producer</t>
  </si>
  <si>
    <t>Kable Thurlow</t>
  </si>
  <si>
    <t>Kable</t>
  </si>
  <si>
    <t>Thurlow</t>
  </si>
  <si>
    <t>thurlowk@msu.edu</t>
  </si>
  <si>
    <t>MI</t>
  </si>
  <si>
    <t>Marina Kubicek</t>
  </si>
  <si>
    <t>Marina</t>
  </si>
  <si>
    <t>Kubicek</t>
  </si>
  <si>
    <t>conservationchair@bedfordny.gov</t>
  </si>
  <si>
    <t>Andrew Henriksen</t>
  </si>
  <si>
    <t>Andrew</t>
  </si>
  <si>
    <t>Henriksen</t>
  </si>
  <si>
    <t>andy.henriksen@usda.gov</t>
  </si>
  <si>
    <t>Sean Rabbitt</t>
  </si>
  <si>
    <t>Sean</t>
  </si>
  <si>
    <t>Rabbitt</t>
  </si>
  <si>
    <t>sean.rabbitt@usda.gov</t>
  </si>
  <si>
    <t>05001</t>
  </si>
  <si>
    <t>Rachel Hillegas</t>
  </si>
  <si>
    <t>Rachel</t>
  </si>
  <si>
    <t>Hillegas</t>
  </si>
  <si>
    <t>rachel.hillegas@dec.ny.gov</t>
  </si>
  <si>
    <t>Constance Kustas</t>
  </si>
  <si>
    <t>Constance</t>
  </si>
  <si>
    <t>Kustas</t>
  </si>
  <si>
    <t>constance.kustas@marist.edu</t>
  </si>
  <si>
    <t>Linda Liddle</t>
  </si>
  <si>
    <t>Linda</t>
  </si>
  <si>
    <t>Liddle</t>
  </si>
  <si>
    <t>liddlela@verizon.net</t>
  </si>
  <si>
    <t>Dan Tanski</t>
  </si>
  <si>
    <t>Dan</t>
  </si>
  <si>
    <t>Tanski</t>
  </si>
  <si>
    <t>Dft1080@aol.com</t>
  </si>
  <si>
    <t>chuck adams</t>
  </si>
  <si>
    <t>chuck</t>
  </si>
  <si>
    <t>adams</t>
  </si>
  <si>
    <t>questions@northorchardfarm.com</t>
  </si>
  <si>
    <t>01057</t>
  </si>
  <si>
    <t>Cole Gross</t>
  </si>
  <si>
    <t>Cole</t>
  </si>
  <si>
    <t>Gross</t>
  </si>
  <si>
    <t>cdgross@esf.edu</t>
  </si>
  <si>
    <t>Emma Shermak</t>
  </si>
  <si>
    <t>Emma</t>
  </si>
  <si>
    <t>Shermak</t>
  </si>
  <si>
    <t>eshermak@nmu.edu</t>
  </si>
  <si>
    <t>Howard Wurzbacher</t>
  </si>
  <si>
    <t>Howard</t>
  </si>
  <si>
    <t>Wurzbacher</t>
  </si>
  <si>
    <t>hcwurz@aol.com</t>
  </si>
  <si>
    <t>Olesya Haze</t>
  </si>
  <si>
    <t>Olesya</t>
  </si>
  <si>
    <t>Haze</t>
  </si>
  <si>
    <t>olesya@timfarms.com</t>
  </si>
  <si>
    <t>Andrew Clark</t>
  </si>
  <si>
    <t>Clark</t>
  </si>
  <si>
    <t>limbitlesslogging@comcast.net</t>
  </si>
  <si>
    <t>06330</t>
  </si>
  <si>
    <t>Kevin Podkowka</t>
  </si>
  <si>
    <t>Podkowka</t>
  </si>
  <si>
    <t>kevin.podkowka@mass.gov</t>
  </si>
  <si>
    <t>01202</t>
  </si>
  <si>
    <t>Jono Neiger</t>
  </si>
  <si>
    <t>Jono</t>
  </si>
  <si>
    <t>Neiger</t>
  </si>
  <si>
    <t>jono@rdgland.com</t>
  </si>
  <si>
    <t>01054</t>
  </si>
  <si>
    <t>Margaret Augustine</t>
  </si>
  <si>
    <t>Margaret</t>
  </si>
  <si>
    <t>Augustine</t>
  </si>
  <si>
    <t>margaret.augustine@usda.gov</t>
  </si>
  <si>
    <t>05059</t>
  </si>
  <si>
    <t>&gt;100</t>
  </si>
  <si>
    <t>Amanda Dillon</t>
  </si>
  <si>
    <t>Amanda</t>
  </si>
  <si>
    <t>Dillon</t>
  </si>
  <si>
    <t>amanda.dillon@dec.ny.gov</t>
  </si>
  <si>
    <t>Robert Hobbes Jr</t>
  </si>
  <si>
    <t>Hobbes Jr</t>
  </si>
  <si>
    <t>frstrbob@ptd.net</t>
  </si>
  <si>
    <t>Christina Nickola</t>
  </si>
  <si>
    <t xml:space="preserve">Christina </t>
  </si>
  <si>
    <t>Nickola</t>
  </si>
  <si>
    <t>christina.nickola@usda.gov</t>
  </si>
  <si>
    <t>Mike White</t>
  </si>
  <si>
    <t>Mike</t>
  </si>
  <si>
    <t>White</t>
  </si>
  <si>
    <t>mike@calfeewoodland.com</t>
  </si>
  <si>
    <t>05251</t>
  </si>
  <si>
    <t>Mark Kopecky</t>
  </si>
  <si>
    <t>Kopecky</t>
  </si>
  <si>
    <t>mark.kopecky@usda.gov</t>
  </si>
  <si>
    <t>EE</t>
  </si>
  <si>
    <t>Estonia</t>
  </si>
  <si>
    <t>Dan Little</t>
  </si>
  <si>
    <t>Little</t>
  </si>
  <si>
    <t>daniel.little@dec.ny.gov</t>
  </si>
  <si>
    <t>Gregg Cassidy</t>
  </si>
  <si>
    <t>Gregg</t>
  </si>
  <si>
    <t>Cassidy</t>
  </si>
  <si>
    <t>forestguy@aol.com</t>
  </si>
  <si>
    <t>02825</t>
  </si>
  <si>
    <t>Joseph Kowalski</t>
  </si>
  <si>
    <t>Kowalski</t>
  </si>
  <si>
    <t>joseph@ganeshtree.com</t>
  </si>
  <si>
    <t>01566</t>
  </si>
  <si>
    <t>2, 000</t>
  </si>
  <si>
    <t>Wayne Tamminga</t>
  </si>
  <si>
    <t>Wayne</t>
  </si>
  <si>
    <t>Tamminga</t>
  </si>
  <si>
    <t>wayne.tamminga@ky.gov</t>
  </si>
  <si>
    <t>Douglas Hutcheson</t>
  </si>
  <si>
    <t>Douglas</t>
  </si>
  <si>
    <t>Hutcheson</t>
  </si>
  <si>
    <t>douglas.hutcheson@mass.gov</t>
  </si>
  <si>
    <t>01007</t>
  </si>
  <si>
    <t>Jeff Jourdain</t>
  </si>
  <si>
    <t>Jourdain</t>
  </si>
  <si>
    <t>JAJourdain@gmail.com</t>
  </si>
  <si>
    <t>01223</t>
  </si>
  <si>
    <t>Lee Crocker</t>
  </si>
  <si>
    <t>Crocker</t>
  </si>
  <si>
    <t>lacrocker78@gmail.com</t>
  </si>
  <si>
    <t>OH</t>
  </si>
  <si>
    <t>Mark Batcheler</t>
  </si>
  <si>
    <t>Batcheler</t>
  </si>
  <si>
    <t>mark.batcheler@usda.gov</t>
  </si>
  <si>
    <t>Robert Kobelia</t>
  </si>
  <si>
    <t>Kobelia</t>
  </si>
  <si>
    <t>robertkobelia@yahoo.com</t>
  </si>
  <si>
    <t>05201</t>
  </si>
  <si>
    <t>Ernest Metz</t>
  </si>
  <si>
    <t>Ernest</t>
  </si>
  <si>
    <t>Metz</t>
  </si>
  <si>
    <t>ernie.metz@gmail.com</t>
  </si>
  <si>
    <t>David Mcmath</t>
  </si>
  <si>
    <t>Mcmath</t>
  </si>
  <si>
    <t>Dmcmath@kingcon.com</t>
  </si>
  <si>
    <t>05836</t>
  </si>
  <si>
    <t>Mark Edmonds</t>
  </si>
  <si>
    <t>Edmonds</t>
  </si>
  <si>
    <t>ctmle@sbcglobal.net</t>
  </si>
  <si>
    <t>TN</t>
  </si>
  <si>
    <t>Bill Wais</t>
  </si>
  <si>
    <t>Bill</t>
  </si>
  <si>
    <t>Wais</t>
  </si>
  <si>
    <t>wdwais@gmail.com</t>
  </si>
  <si>
    <t>3, 000</t>
  </si>
  <si>
    <t>Tony Nott</t>
  </si>
  <si>
    <t>Tony</t>
  </si>
  <si>
    <t>Nott</t>
  </si>
  <si>
    <t>tony.nott@usda.gov</t>
  </si>
  <si>
    <t>John Edwards</t>
  </si>
  <si>
    <t>Edwards</t>
  </si>
  <si>
    <t>edwards7739@yahoo.com</t>
  </si>
  <si>
    <t>01035</t>
  </si>
  <si>
    <t>Greg White</t>
  </si>
  <si>
    <t>greg.white@usda.gov</t>
  </si>
  <si>
    <t>Jake Stever</t>
  </si>
  <si>
    <t>Jake</t>
  </si>
  <si>
    <t>Stever</t>
  </si>
  <si>
    <t>stever@fwforester.com</t>
  </si>
  <si>
    <t>06455</t>
  </si>
  <si>
    <t>John Bandoni</t>
  </si>
  <si>
    <t>Bandoni</t>
  </si>
  <si>
    <t>johnabandoni@gmail.com</t>
  </si>
  <si>
    <t>02905</t>
  </si>
  <si>
    <t>Andrew Hulley</t>
  </si>
  <si>
    <t>Hulley</t>
  </si>
  <si>
    <t>ajhulley1@gmail.com</t>
  </si>
  <si>
    <t>John Clancy</t>
  </si>
  <si>
    <t xml:space="preserve">John </t>
  </si>
  <si>
    <t xml:space="preserve">Clancy </t>
  </si>
  <si>
    <t>john.clancy@legacyforestryadvisors.org</t>
  </si>
  <si>
    <t>Nicholas Cranmer</t>
  </si>
  <si>
    <t>Nicholas</t>
  </si>
  <si>
    <t>Cranmer</t>
  </si>
  <si>
    <t>nc459@cornell.edu</t>
  </si>
  <si>
    <t>zero</t>
  </si>
  <si>
    <t>Tom Kass</t>
  </si>
  <si>
    <t>treeguy1000@gmail.com</t>
  </si>
  <si>
    <t>01040</t>
  </si>
  <si>
    <t>Greg Albrecht</t>
  </si>
  <si>
    <t>Albrecht</t>
  </si>
  <si>
    <t>greg.albrecht@agriculture.ny.gov</t>
  </si>
  <si>
    <t>Tate Bushell</t>
  </si>
  <si>
    <t>Tate</t>
  </si>
  <si>
    <t>Tbushell@gardenpreserve.org</t>
  </si>
  <si>
    <t>04675</t>
  </si>
  <si>
    <t>Tate Tate</t>
  </si>
  <si>
    <t>Eli Roberts</t>
  </si>
  <si>
    <t>Eli</t>
  </si>
  <si>
    <t>Roberts</t>
  </si>
  <si>
    <t>eli@sunfleckconsulting.com</t>
  </si>
  <si>
    <t>John Hopkins</t>
  </si>
  <si>
    <t>Hopkins</t>
  </si>
  <si>
    <t>jhopjr616@gmail.com</t>
  </si>
  <si>
    <t>Brooke Wenzel</t>
  </si>
  <si>
    <t>Brooke</t>
  </si>
  <si>
    <t>Wenzel</t>
  </si>
  <si>
    <t>brooke.wenzel@usda.gov</t>
  </si>
  <si>
    <t>Frieda Pearce</t>
  </si>
  <si>
    <t>Frieda</t>
  </si>
  <si>
    <t>Pearce</t>
  </si>
  <si>
    <t>sfpearce25@gmail.com</t>
  </si>
  <si>
    <t>Kathryn Natale</t>
  </si>
  <si>
    <t>Kathryn</t>
  </si>
  <si>
    <t>Natale</t>
  </si>
  <si>
    <t>KNatale@bard.edu</t>
  </si>
  <si>
    <t>Abmael Cardoso</t>
  </si>
  <si>
    <t>Abmael</t>
  </si>
  <si>
    <t>Cardoso</t>
  </si>
  <si>
    <t>abmael2@gmail.com</t>
  </si>
  <si>
    <t>BR</t>
  </si>
  <si>
    <t>Brazil</t>
  </si>
  <si>
    <t>Travis Hermance</t>
  </si>
  <si>
    <t>Hermance</t>
  </si>
  <si>
    <t>hermancetravis@gmail.com</t>
  </si>
  <si>
    <t>02906</t>
  </si>
  <si>
    <t>Gino Palmeri</t>
  </si>
  <si>
    <t>Gino</t>
  </si>
  <si>
    <t>Palmeri</t>
  </si>
  <si>
    <t>palgino802@gmail.com</t>
  </si>
  <si>
    <t>05346</t>
  </si>
  <si>
    <t>Darrell Sillings</t>
  </si>
  <si>
    <t>Darrell</t>
  </si>
  <si>
    <t>Sillings</t>
  </si>
  <si>
    <t>dsillings@hotmail.com</t>
  </si>
  <si>
    <t>Tim Chick</t>
  </si>
  <si>
    <t>Chick</t>
  </si>
  <si>
    <t>adktreeguy@gmail.com</t>
  </si>
  <si>
    <t>Robert Beham</t>
  </si>
  <si>
    <t xml:space="preserve">Robert </t>
  </si>
  <si>
    <t>Beham</t>
  </si>
  <si>
    <t>Rjbforest@yahoo.com</t>
  </si>
  <si>
    <t>01257</t>
  </si>
  <si>
    <t xml:space="preserve">Marta </t>
  </si>
  <si>
    <t>Jones</t>
  </si>
  <si>
    <t>martaaj@comcast.net</t>
  </si>
  <si>
    <t>--</t>
  </si>
  <si>
    <t>Brett</t>
  </si>
  <si>
    <t>Swanson</t>
  </si>
  <si>
    <t>brett.swanson@usda.gov</t>
  </si>
  <si>
    <t>Thomas</t>
  </si>
  <si>
    <t>Akin</t>
  </si>
  <si>
    <t>akin.tom@gmail.com</t>
  </si>
  <si>
    <t>Heather</t>
  </si>
  <si>
    <t>Engelman</t>
  </si>
  <si>
    <t>engelman@esf.edu</t>
  </si>
  <si>
    <t>Patricia</t>
  </si>
  <si>
    <t>Czora</t>
  </si>
  <si>
    <t>Patriciausa33@yahoo.com</t>
  </si>
  <si>
    <t>Gieryk</t>
  </si>
  <si>
    <t>boscoe2@comcast.net</t>
  </si>
  <si>
    <t>01039</t>
  </si>
  <si>
    <t>Annabel Gregg</t>
  </si>
  <si>
    <t>annabel.gregg@dec.ny.gov</t>
  </si>
  <si>
    <t>Ervin</t>
  </si>
  <si>
    <t>Tower</t>
  </si>
  <si>
    <t>detower@fairpoint.net</t>
  </si>
  <si>
    <t>04765</t>
  </si>
  <si>
    <t>Christi</t>
  </si>
  <si>
    <t>Barber</t>
  </si>
  <si>
    <t>christi.barber@dec.ny.gov</t>
  </si>
  <si>
    <t>Corrina</t>
  </si>
  <si>
    <t>Aldrich</t>
  </si>
  <si>
    <t>corrina.aldrich@ny.nacdnet.net</t>
  </si>
  <si>
    <t>Whitman</t>
  </si>
  <si>
    <t>andrew.whitman@maine.gov</t>
  </si>
  <si>
    <t>BH</t>
  </si>
  <si>
    <t>05550</t>
  </si>
  <si>
    <t>Bahrain</t>
  </si>
  <si>
    <t>Christopher</t>
  </si>
  <si>
    <t>Dorando</t>
  </si>
  <si>
    <t>cdorando@gmai.com</t>
  </si>
  <si>
    <t>Elliott</t>
  </si>
  <si>
    <t>Groen</t>
  </si>
  <si>
    <t>elliottgroen@gmail.com</t>
  </si>
  <si>
    <t>K9L 1E5</t>
  </si>
  <si>
    <t>Hetzler</t>
  </si>
  <si>
    <t>paul.j.hetzler@gmail.com</t>
  </si>
  <si>
    <t>J8N 4C7</t>
  </si>
  <si>
    <t>Walsh</t>
  </si>
  <si>
    <t>WalshEcoDesign@gmail.com</t>
  </si>
  <si>
    <t>07701</t>
  </si>
  <si>
    <t xml:space="preserve">Meghan </t>
  </si>
  <si>
    <t>Giroux</t>
  </si>
  <si>
    <t>meghan@interlacecommons.org</t>
  </si>
  <si>
    <t>05443</t>
  </si>
  <si>
    <t>700+</t>
  </si>
  <si>
    <t>anthony</t>
  </si>
  <si>
    <t>byars</t>
  </si>
  <si>
    <t>abyars1955@gmail.com</t>
  </si>
  <si>
    <t>AL</t>
  </si>
  <si>
    <t xml:space="preserve">Kathleen </t>
  </si>
  <si>
    <t xml:space="preserve">Brooks </t>
  </si>
  <si>
    <t>Mahalo202020@gmail.com</t>
  </si>
  <si>
    <t>04444</t>
  </si>
  <si>
    <t xml:space="preserve">Pete </t>
  </si>
  <si>
    <t xml:space="preserve">Tupis </t>
  </si>
  <si>
    <t>Pete@wvtimberwolf.com</t>
  </si>
  <si>
    <t>WV</t>
  </si>
  <si>
    <t>5, 000</t>
  </si>
  <si>
    <t>Adkins</t>
  </si>
  <si>
    <t>tomadk12@gmail.com</t>
  </si>
  <si>
    <t>Quentin</t>
  </si>
  <si>
    <t>Gahan</t>
  </si>
  <si>
    <t>quentin.gahan@usda.gov</t>
  </si>
  <si>
    <t>Danielle F</t>
  </si>
  <si>
    <t>Cobb</t>
  </si>
  <si>
    <t>df.cobb@gmail.com</t>
  </si>
  <si>
    <t>½</t>
  </si>
  <si>
    <t>Stewardship</t>
  </si>
  <si>
    <t>Director</t>
  </si>
  <si>
    <t>steward@geneseevalleyconservancy.org</t>
  </si>
  <si>
    <t>Seeley</t>
  </si>
  <si>
    <t>tds5@cornell.edu</t>
  </si>
  <si>
    <t>Glen</t>
  </si>
  <si>
    <t>Olson</t>
  </si>
  <si>
    <t>gleno29@hotmail.com</t>
  </si>
  <si>
    <t>Melissa</t>
  </si>
  <si>
    <t>Melissa_Mark30@yahoo.com</t>
  </si>
  <si>
    <t>Carol</t>
  </si>
  <si>
    <t>Schelin</t>
  </si>
  <si>
    <t>carolschelin5@gmail.com</t>
  </si>
  <si>
    <t>VanDerwerken</t>
  </si>
  <si>
    <t>john_vanderwerken@yahoo.com</t>
  </si>
  <si>
    <t>Kim</t>
  </si>
  <si>
    <t>kslezak2@unl.edu</t>
  </si>
  <si>
    <t>NE</t>
  </si>
  <si>
    <t>Brignac</t>
  </si>
  <si>
    <t>klb339@cornell.edu</t>
  </si>
  <si>
    <t>Inshik</t>
  </si>
  <si>
    <t>inshiklee@gmail.com</t>
  </si>
  <si>
    <t>Chedzoy</t>
  </si>
  <si>
    <t>bjc226@cornell.edu</t>
  </si>
  <si>
    <t>Blodgett</t>
  </si>
  <si>
    <t>rblodgett@provwater.com</t>
  </si>
  <si>
    <t>02831</t>
  </si>
  <si>
    <t>Sirrine</t>
  </si>
  <si>
    <t>eric.sirrine@wi.gov</t>
  </si>
  <si>
    <t>Amber</t>
  </si>
  <si>
    <t>Guay</t>
  </si>
  <si>
    <t>ambr.bkr@gmail.com</t>
  </si>
  <si>
    <t>Berk</t>
  </si>
  <si>
    <t>Dan.berk@ge.com</t>
  </si>
  <si>
    <t>06281</t>
  </si>
  <si>
    <t>Maureen</t>
  </si>
  <si>
    <t>Kilgore</t>
  </si>
  <si>
    <t>info@irishagroforestry.ie</t>
  </si>
  <si>
    <t>IE</t>
  </si>
  <si>
    <t>P51YY91</t>
  </si>
  <si>
    <t>Ireland</t>
  </si>
  <si>
    <t>Bem</t>
  </si>
  <si>
    <t>Stromback</t>
  </si>
  <si>
    <t>ben@strombacklandregeneration.com</t>
  </si>
  <si>
    <t>Ricardo</t>
  </si>
  <si>
    <t>Zachrisson</t>
  </si>
  <si>
    <t>richardzachrissonc@gmail.com</t>
  </si>
  <si>
    <t>GT</t>
  </si>
  <si>
    <t>01051</t>
  </si>
  <si>
    <t xml:space="preserve">1, 500 </t>
  </si>
  <si>
    <t>Guatemala</t>
  </si>
  <si>
    <t>Sarah</t>
  </si>
  <si>
    <t>Castle</t>
  </si>
  <si>
    <t>castle3@wisc.edu</t>
  </si>
  <si>
    <t>Katie</t>
  </si>
  <si>
    <t>Collins</t>
  </si>
  <si>
    <t>mkcollins8@gmail.com</t>
  </si>
  <si>
    <t>Lance</t>
  </si>
  <si>
    <t>Moore</t>
  </si>
  <si>
    <t>lpmoore@gov.pe.ca</t>
  </si>
  <si>
    <t>C0A 1R0</t>
  </si>
  <si>
    <t>Asher</t>
  </si>
  <si>
    <t>Maliepaard</t>
  </si>
  <si>
    <t>asher.maliepaard@goldensandsrcd.org</t>
  </si>
  <si>
    <t>Stoltzfoos</t>
  </si>
  <si>
    <t>thisisdennis@startmail.com</t>
  </si>
  <si>
    <t>FL</t>
  </si>
  <si>
    <t>Jasmine</t>
  </si>
  <si>
    <t>Thompson</t>
  </si>
  <si>
    <t>jasmine@pasafarming.org</t>
  </si>
  <si>
    <t>Ashley</t>
  </si>
  <si>
    <t>Schoenborn</t>
  </si>
  <si>
    <t>als543@cornell.edu</t>
  </si>
  <si>
    <t xml:space="preserve">own 4 </t>
  </si>
  <si>
    <t>Deborah</t>
  </si>
  <si>
    <t>Landau</t>
  </si>
  <si>
    <t>dlandau@tnc.org</t>
  </si>
  <si>
    <t>ricky</t>
  </si>
  <si>
    <t>silvestro</t>
  </si>
  <si>
    <t>richard.silvestro@dec.ny.gov</t>
  </si>
  <si>
    <t>Bruce</t>
  </si>
  <si>
    <t>Kernan</t>
  </si>
  <si>
    <t>kernan.bruce@yahoo.com</t>
  </si>
  <si>
    <t>Moulton</t>
  </si>
  <si>
    <t>moult2850@yahoo.com</t>
  </si>
  <si>
    <t>01082</t>
  </si>
  <si>
    <t>Marcus</t>
  </si>
  <si>
    <t>Riehl</t>
  </si>
  <si>
    <t>marcus.riehl@parks.ny.gov</t>
  </si>
  <si>
    <t>Tatiana</t>
  </si>
  <si>
    <t>Ryckman</t>
  </si>
  <si>
    <t>Tatiana.Ryckman@gmail.com</t>
  </si>
  <si>
    <t>Patrick</t>
  </si>
  <si>
    <t>Campbell</t>
  </si>
  <si>
    <t>johnpatrick.campbell@usda.gov</t>
  </si>
  <si>
    <t xml:space="preserve">Haley </t>
  </si>
  <si>
    <t>Henderson</t>
  </si>
  <si>
    <t>haley.henderson@usda.gov</t>
  </si>
  <si>
    <t>N/A</t>
  </si>
  <si>
    <t>Boutsikaris</t>
  </si>
  <si>
    <t>anna.boutsikaris@dec.ny.gov</t>
  </si>
  <si>
    <t xml:space="preserve">Jacobson </t>
  </si>
  <si>
    <t>Jacobson@ithaca.edu</t>
  </si>
  <si>
    <t>Shepherd</t>
  </si>
  <si>
    <t>dsplshepherd@gmail.com</t>
  </si>
  <si>
    <t>Megan</t>
  </si>
  <si>
    <t>Baker</t>
  </si>
  <si>
    <t>megan.baker3@usda.gov</t>
  </si>
  <si>
    <t>michael</t>
  </si>
  <si>
    <t>kusko</t>
  </si>
  <si>
    <t>mikekusko@gmail.com</t>
  </si>
  <si>
    <t>Allen</t>
  </si>
  <si>
    <t>Arthur</t>
  </si>
  <si>
    <t>allen.arthur@usda.gov</t>
  </si>
  <si>
    <t>Lewis</t>
  </si>
  <si>
    <t>Ward</t>
  </si>
  <si>
    <t>lewwoodchuck@gmail.com</t>
  </si>
  <si>
    <t>Kostiantyn</t>
  </si>
  <si>
    <t>Viatkin</t>
  </si>
  <si>
    <t>kv248@cornell.edu</t>
  </si>
  <si>
    <t>yes</t>
  </si>
  <si>
    <t>Smallidge</t>
  </si>
  <si>
    <t xml:space="preserve">  11:35:46 AM</t>
  </si>
  <si>
    <t xml:space="preserve">  2:05:54 PM</t>
  </si>
  <si>
    <t xml:space="preserve">  11:59:19 AM</t>
  </si>
  <si>
    <t xml:space="preserve">  7:02:56 PM</t>
  </si>
  <si>
    <t xml:space="preserve">  12:09:26 PM</t>
  </si>
  <si>
    <t xml:space="preserve">  1:04:07 PM</t>
  </si>
  <si>
    <t xml:space="preserve">  11:56:36 AM</t>
  </si>
  <si>
    <t xml:space="preserve">  1:01:57 PM</t>
  </si>
  <si>
    <t xml:space="preserve">  6:54:36 PM</t>
  </si>
  <si>
    <t xml:space="preserve">  8:02:32 PM</t>
  </si>
  <si>
    <t xml:space="preserve">  11:57:30 AM</t>
  </si>
  <si>
    <t xml:space="preserve">  1:04:04 PM</t>
  </si>
  <si>
    <t xml:space="preserve">  7:09:39 PM</t>
  </si>
  <si>
    <t xml:space="preserve">  6:59:52 PM</t>
  </si>
  <si>
    <t xml:space="preserve">  8:02:02 PM</t>
  </si>
  <si>
    <t xml:space="preserve">  7:02:28 PM</t>
  </si>
  <si>
    <t xml:space="preserve">  11:52:42 AM</t>
  </si>
  <si>
    <t xml:space="preserve">  12:47:32 PM</t>
  </si>
  <si>
    <t xml:space="preserve">  12:03:29 PM</t>
  </si>
  <si>
    <t xml:space="preserve">  1:04:36 PM</t>
  </si>
  <si>
    <t xml:space="preserve">  12:01:43 PM</t>
  </si>
  <si>
    <t xml:space="preserve">  12:45:56 PM</t>
  </si>
  <si>
    <t xml:space="preserve">  6:57:30 PM</t>
  </si>
  <si>
    <t xml:space="preserve">  8:01:48 PM</t>
  </si>
  <si>
    <t xml:space="preserve">  6:58:38 PM</t>
  </si>
  <si>
    <t xml:space="preserve">  6:59:09 PM</t>
  </si>
  <si>
    <t xml:space="preserve">  8:02:30 PM</t>
  </si>
  <si>
    <t xml:space="preserve">  12:00:24 PM</t>
  </si>
  <si>
    <t xml:space="preserve">  1:04:23 PM</t>
  </si>
  <si>
    <t xml:space="preserve">  11:59:41 AM</t>
  </si>
  <si>
    <t xml:space="preserve">  1:06:15 PM</t>
  </si>
  <si>
    <t xml:space="preserve">  12:00:55 PM</t>
  </si>
  <si>
    <t xml:space="preserve">  1:04:29 PM</t>
  </si>
  <si>
    <t xml:space="preserve">  11:59:40 AM</t>
  </si>
  <si>
    <t xml:space="preserve">  12:56:44 PM</t>
  </si>
  <si>
    <t xml:space="preserve">  12:01:19 PM</t>
  </si>
  <si>
    <t xml:space="preserve">  11:55:22 AM</t>
  </si>
  <si>
    <t xml:space="preserve">  1:04:20 PM</t>
  </si>
  <si>
    <t xml:space="preserve">  11:57:19 AM</t>
  </si>
  <si>
    <t xml:space="preserve">  12:47:12 PM</t>
  </si>
  <si>
    <t xml:space="preserve">  11:49:53 AM</t>
  </si>
  <si>
    <t xml:space="preserve">  1:07:17 PM</t>
  </si>
  <si>
    <t xml:space="preserve">  11:55:37 AM</t>
  </si>
  <si>
    <t xml:space="preserve">  1:04:32 PM</t>
  </si>
  <si>
    <t xml:space="preserve">  11:59:08 AM</t>
  </si>
  <si>
    <t xml:space="preserve">  1:58:14 PM</t>
  </si>
  <si>
    <t xml:space="preserve">  11:58:03 AM</t>
  </si>
  <si>
    <t xml:space="preserve">  1:06:47 PM</t>
  </si>
  <si>
    <t xml:space="preserve">  11:55:17 AM</t>
  </si>
  <si>
    <t xml:space="preserve">  1:20:49 PM</t>
  </si>
  <si>
    <t xml:space="preserve">  12:11:16 PM</t>
  </si>
  <si>
    <t xml:space="preserve">  1:04:19 PM</t>
  </si>
  <si>
    <t xml:space="preserve">  6:55:06 PM</t>
  </si>
  <si>
    <t xml:space="preserve">  12:00:11 PM</t>
  </si>
  <si>
    <t xml:space="preserve">  1:04:11 PM</t>
  </si>
  <si>
    <t xml:space="preserve">  6:47:36 PM</t>
  </si>
  <si>
    <t xml:space="preserve">  11:51:00 AM</t>
  </si>
  <si>
    <t xml:space="preserve">  1:04:25 PM</t>
  </si>
  <si>
    <t xml:space="preserve">  11:50:56 AM</t>
  </si>
  <si>
    <t xml:space="preserve">  1:04:34 PM</t>
  </si>
  <si>
    <t xml:space="preserve">  7:02:13 PM</t>
  </si>
  <si>
    <t xml:space="preserve">  7:04:18 PM</t>
  </si>
  <si>
    <t xml:space="preserve">  6:56:21 PM</t>
  </si>
  <si>
    <t xml:space="preserve">  11:59:57 AM</t>
  </si>
  <si>
    <t xml:space="preserve">  7:05:09 PM</t>
  </si>
  <si>
    <t xml:space="preserve">  12:00:36 PM</t>
  </si>
  <si>
    <t xml:space="preserve">  12:05:28 PM</t>
  </si>
  <si>
    <t xml:space="preserve">  11:55:09 AM</t>
  </si>
  <si>
    <t xml:space="preserve">  1:04:22 PM</t>
  </si>
  <si>
    <t xml:space="preserve">  11:59:35 AM</t>
  </si>
  <si>
    <t xml:space="preserve">  12:49:28 PM</t>
  </si>
  <si>
    <t xml:space="preserve">  11:57:51 AM</t>
  </si>
  <si>
    <t xml:space="preserve">  7:05:42 PM</t>
  </si>
  <si>
    <t xml:space="preserve">  8:02:33 PM</t>
  </si>
  <si>
    <t xml:space="preserve">  11:58:36 AM</t>
  </si>
  <si>
    <t xml:space="preserve">  1:04:01 PM</t>
  </si>
  <si>
    <t xml:space="preserve">  11:56:08 AM</t>
  </si>
  <si>
    <t xml:space="preserve">  1:04:56 PM</t>
  </si>
  <si>
    <t xml:space="preserve">  12:14:25 PM</t>
  </si>
  <si>
    <t xml:space="preserve">  12:59:28 PM</t>
  </si>
  <si>
    <t xml:space="preserve">  6:49:59 PM</t>
  </si>
  <si>
    <t xml:space="preserve">  11:58:59 AM</t>
  </si>
  <si>
    <t xml:space="preserve">  1:04:35 PM</t>
  </si>
  <si>
    <t xml:space="preserve">  12:02:27 PM</t>
  </si>
  <si>
    <t xml:space="preserve">  1:03:15 PM</t>
  </si>
  <si>
    <t xml:space="preserve">  12:00:10 PM</t>
  </si>
  <si>
    <t xml:space="preserve">  1:04:24 PM</t>
  </si>
  <si>
    <t xml:space="preserve">  11:57:59 AM</t>
  </si>
  <si>
    <t xml:space="preserve">  12:08:04 PM</t>
  </si>
  <si>
    <t xml:space="preserve">  1:04:27 PM</t>
  </si>
  <si>
    <t xml:space="preserve">  12:01:18 PM</t>
  </si>
  <si>
    <t xml:space="preserve">  12:00:34 PM</t>
  </si>
  <si>
    <t xml:space="preserve">  1:04:10 PM</t>
  </si>
  <si>
    <t xml:space="preserve">  11:54:04 AM</t>
  </si>
  <si>
    <t xml:space="preserve">  7:00:11 PM</t>
  </si>
  <si>
    <t xml:space="preserve">  6:59:08 PM</t>
  </si>
  <si>
    <t xml:space="preserve">  7:02:21 PM</t>
  </si>
  <si>
    <t xml:space="preserve">  8:02:31 PM</t>
  </si>
  <si>
    <t xml:space="preserve">  11:57:54 AM</t>
  </si>
  <si>
    <t xml:space="preserve">  1:04:13 PM</t>
  </si>
  <si>
    <t xml:space="preserve">  11:56:39 AM</t>
  </si>
  <si>
    <t xml:space="preserve">  1:03:35 PM</t>
  </si>
  <si>
    <t xml:space="preserve">  12:02:12 PM</t>
  </si>
  <si>
    <t xml:space="preserve">  12:45:39 PM</t>
  </si>
  <si>
    <t xml:space="preserve">  12:01:46 PM</t>
  </si>
  <si>
    <t xml:space="preserve">  1:12:25 PM</t>
  </si>
  <si>
    <t xml:space="preserve">  11:58:38 AM</t>
  </si>
  <si>
    <t xml:space="preserve">  12:49:07 PM</t>
  </si>
  <si>
    <t xml:space="preserve">  12:15:23 PM</t>
  </si>
  <si>
    <t xml:space="preserve">  11:55:26 AM</t>
  </si>
  <si>
    <t xml:space="preserve">  12:04:33 PM</t>
  </si>
  <si>
    <t xml:space="preserve">  12:00:47 PM</t>
  </si>
  <si>
    <t xml:space="preserve">  12:39:08 PM</t>
  </si>
  <si>
    <t xml:space="preserve">  12:07:22 PM</t>
  </si>
  <si>
    <t xml:space="preserve">  12:40:54 PM</t>
  </si>
  <si>
    <t xml:space="preserve">  12:10:04 PM</t>
  </si>
  <si>
    <t xml:space="preserve">  12:18:08 PM</t>
  </si>
  <si>
    <t xml:space="preserve">  12:56:32 PM</t>
  </si>
  <si>
    <t xml:space="preserve">  12:23:08 PM</t>
  </si>
  <si>
    <t xml:space="preserve">  12:45:22 PM</t>
  </si>
  <si>
    <t xml:space="preserve">  11:58:29 AM</t>
  </si>
  <si>
    <t xml:space="preserve">  12:00:49 PM</t>
  </si>
  <si>
    <t xml:space="preserve">  1:23:32 PM</t>
  </si>
  <si>
    <t xml:space="preserve">  12:02:28 PM</t>
  </si>
  <si>
    <t xml:space="preserve">  12:58:05 PM</t>
  </si>
  <si>
    <t xml:space="preserve">  11:55:02 AM</t>
  </si>
  <si>
    <t xml:space="preserve">  1:04:17 PM</t>
  </si>
  <si>
    <t xml:space="preserve">  12:55:56 PM</t>
  </si>
  <si>
    <t xml:space="preserve">  1:01:06 PM</t>
  </si>
  <si>
    <t xml:space="preserve">  1:04:31 PM</t>
  </si>
  <si>
    <t xml:space="preserve">  11:55:31 AM</t>
  </si>
  <si>
    <t xml:space="preserve">  12:04:54 PM</t>
  </si>
  <si>
    <t xml:space="preserve">  6:46:47 PM</t>
  </si>
  <si>
    <t xml:space="preserve">  11:54:19 AM</t>
  </si>
  <si>
    <t xml:space="preserve">  12:55:16 PM</t>
  </si>
  <si>
    <t xml:space="preserve">  12:01:28 PM</t>
  </si>
  <si>
    <t xml:space="preserve">  11:58:14 AM</t>
  </si>
  <si>
    <t xml:space="preserve">  1:04:30 PM</t>
  </si>
  <si>
    <t xml:space="preserve">  12:02:29 PM</t>
  </si>
  <si>
    <t xml:space="preserve">  12:57:23 PM</t>
  </si>
  <si>
    <t xml:space="preserve">  12:01:20 PM</t>
  </si>
  <si>
    <t xml:space="preserve">  1:04:03 PM</t>
  </si>
  <si>
    <t xml:space="preserve">  12:01:05 PM</t>
  </si>
  <si>
    <t xml:space="preserve">  12:51:18 PM</t>
  </si>
  <si>
    <t xml:space="preserve">  12:00:43 PM</t>
  </si>
  <si>
    <t xml:space="preserve">  1:05:05 PM</t>
  </si>
  <si>
    <t xml:space="preserve">  12:06:17 PM</t>
  </si>
  <si>
    <t xml:space="preserve">  1:04:46 PM</t>
  </si>
  <si>
    <t xml:space="preserve">  11:50:54 AM</t>
  </si>
  <si>
    <t xml:space="preserve">  11:55:57 AM</t>
  </si>
  <si>
    <t xml:space="preserve">  11:58:13 AM</t>
  </si>
  <si>
    <t xml:space="preserve">  12:00:20 PM</t>
  </si>
  <si>
    <t xml:space="preserve">  12:26:52 PM</t>
  </si>
  <si>
    <t xml:space="preserve">  12:46:18 PM</t>
  </si>
  <si>
    <t xml:space="preserve">  12:09:01 PM</t>
  </si>
  <si>
    <t xml:space="preserve">  12:46:34 PM</t>
  </si>
  <si>
    <t xml:space="preserve">  12:03:35 PM</t>
  </si>
  <si>
    <t xml:space="preserve">  12:56:21 PM</t>
  </si>
  <si>
    <t xml:space="preserve">  1:05:14 PM</t>
  </si>
  <si>
    <t xml:space="preserve">  11:51:33 AM</t>
  </si>
  <si>
    <t xml:space="preserve">  1:04:42 PM</t>
  </si>
  <si>
    <t xml:space="preserve">  11:56:28 AM</t>
  </si>
  <si>
    <t xml:space="preserve">  11:58:00 AM</t>
  </si>
  <si>
    <t xml:space="preserve">  1:04:48 PM</t>
  </si>
  <si>
    <t xml:space="preserve">  12:12:58 PM</t>
  </si>
  <si>
    <t xml:space="preserve">  1:16:42 PM</t>
  </si>
  <si>
    <t xml:space="preserve">  11:53:43 AM</t>
  </si>
  <si>
    <t xml:space="preserve">  1:05:33 PM</t>
  </si>
  <si>
    <t xml:space="preserve">  12:01:11 PM</t>
  </si>
  <si>
    <t xml:space="preserve">  12:46:29 PM</t>
  </si>
  <si>
    <t xml:space="preserve">  5:29:37 PM</t>
  </si>
  <si>
    <t xml:space="preserve">  6:56:47 PM</t>
  </si>
  <si>
    <t xml:space="preserve">  7:09:27 PM</t>
  </si>
  <si>
    <t xml:space="preserve">  7:18:48 PM</t>
  </si>
  <si>
    <t xml:space="preserve">  11:58:45 AM</t>
  </si>
  <si>
    <t xml:space="preserve">  12:06:06 PM</t>
  </si>
  <si>
    <t xml:space="preserve">  12:32:29 PM</t>
  </si>
  <si>
    <t xml:space="preserve">  11:55:33 AM</t>
  </si>
  <si>
    <t xml:space="preserve">  11:46:45 AM</t>
  </si>
  <si>
    <t xml:space="preserve">  11:43:32 AM</t>
  </si>
  <si>
    <t xml:space="preserve">  12:04:53 PM</t>
  </si>
  <si>
    <t xml:space="preserve">  1:04:33 PM</t>
  </si>
  <si>
    <t xml:space="preserve">  6:52:23 PM</t>
  </si>
  <si>
    <t xml:space="preserve">  7:01:13 PM</t>
  </si>
  <si>
    <t xml:space="preserve">  6:57:42 PM</t>
  </si>
  <si>
    <t xml:space="preserve">  7:58:24 PM</t>
  </si>
  <si>
    <t xml:space="preserve">  7:01:00 PM</t>
  </si>
  <si>
    <t xml:space="preserve">  7:57:28 PM</t>
  </si>
  <si>
    <t xml:space="preserve">  11:47:38 AM</t>
  </si>
  <si>
    <t xml:space="preserve">  1:02:22 PM</t>
  </si>
  <si>
    <t xml:space="preserve">  11:59:51 AM</t>
  </si>
  <si>
    <t xml:space="preserve">  12:01:14 PM</t>
  </si>
  <si>
    <t xml:space="preserve">  7:03:45 PM</t>
  </si>
  <si>
    <t xml:space="preserve">  7:11:28 PM</t>
  </si>
  <si>
    <t xml:space="preserve">  12:02:49 PM</t>
  </si>
  <si>
    <t xml:space="preserve">  12:01:27 PM</t>
  </si>
  <si>
    <t xml:space="preserve">  1:02:27 PM</t>
  </si>
  <si>
    <t xml:space="preserve">  11:55:19 AM</t>
  </si>
  <si>
    <t xml:space="preserve">  11:58:04 AM</t>
  </si>
  <si>
    <t xml:space="preserve">  12:01:21 PM</t>
  </si>
  <si>
    <t xml:space="preserve">  1:04:08 PM</t>
  </si>
  <si>
    <t xml:space="preserve">  11:58:32 AM</t>
  </si>
  <si>
    <t xml:space="preserve">  1:04:44 PM</t>
  </si>
  <si>
    <t xml:space="preserve">  11:56:29 AM</t>
  </si>
  <si>
    <t xml:space="preserve">  1:06:29 PM</t>
  </si>
  <si>
    <t xml:space="preserve">  11:35:48 AM</t>
  </si>
  <si>
    <t xml:space="preserve">  1:05:12 PM</t>
  </si>
  <si>
    <t xml:space="preserve">  11:52:23 AM</t>
  </si>
  <si>
    <t xml:space="preserve">  12:49:16 PM</t>
  </si>
  <si>
    <t xml:space="preserve">  11:57:09 AM</t>
  </si>
  <si>
    <t xml:space="preserve">  12:42:59 PM</t>
  </si>
  <si>
    <t xml:space="preserve">  12:00:39 PM</t>
  </si>
  <si>
    <t xml:space="preserve">  1:04:15 PM</t>
  </si>
  <si>
    <t xml:space="preserve">  11:54:50 AM</t>
  </si>
  <si>
    <t xml:space="preserve">  1:04:00 PM</t>
  </si>
  <si>
    <t xml:space="preserve">  11:52:26 AM</t>
  </si>
  <si>
    <t xml:space="preserve">  1:05:19 PM</t>
  </si>
  <si>
    <t xml:space="preserve">  11:59:24 AM</t>
  </si>
  <si>
    <t xml:space="preserve">  1:06:28 PM</t>
  </si>
  <si>
    <t xml:space="preserve">  11:38:25 AM</t>
  </si>
  <si>
    <t xml:space="preserve">  11:39:14 AM</t>
  </si>
  <si>
    <t xml:space="preserve">  11:48:21 AM</t>
  </si>
  <si>
    <t xml:space="preserve">  11:54:58 AM</t>
  </si>
  <si>
    <t xml:space="preserve">  1:04:40 PM</t>
  </si>
  <si>
    <t xml:space="preserve">  11:48:50 AM</t>
  </si>
  <si>
    <t xml:space="preserve">  11:50:39 AM</t>
  </si>
  <si>
    <t xml:space="preserve">  1:01:36 PM</t>
  </si>
  <si>
    <t xml:space="preserve">  11:51:16 AM</t>
  </si>
  <si>
    <t xml:space="preserve">  11:52:08 AM</t>
  </si>
  <si>
    <t xml:space="preserve">  1:21:56 PM</t>
  </si>
  <si>
    <t xml:space="preserve">  11:52:33 AM</t>
  </si>
  <si>
    <t xml:space="preserve">  11:59:09 AM</t>
  </si>
  <si>
    <t xml:space="preserve">  11:56:37 AM</t>
  </si>
  <si>
    <t xml:space="preserve">  11:57:56 AM</t>
  </si>
  <si>
    <t xml:space="preserve">  1:04:16 PM</t>
  </si>
  <si>
    <t xml:space="preserve">  11:59:05 AM</t>
  </si>
  <si>
    <t xml:space="preserve">  11:59:21 AM</t>
  </si>
  <si>
    <t xml:space="preserve">  1:05:09 PM</t>
  </si>
  <si>
    <t xml:space="preserve">  12:01:50 PM</t>
  </si>
  <si>
    <t xml:space="preserve">  1:03:46 PM</t>
  </si>
  <si>
    <t xml:space="preserve">  12:02:03 PM</t>
  </si>
  <si>
    <t xml:space="preserve">  12:03:05 PM</t>
  </si>
  <si>
    <t xml:space="preserve">  12:05:37 PM</t>
  </si>
  <si>
    <t xml:space="preserve">  12:52:48 PM</t>
  </si>
  <si>
    <t xml:space="preserve">  12:10:23 PM</t>
  </si>
  <si>
    <t xml:space="preserve">  12:46:22 PM</t>
  </si>
  <si>
    <t xml:space="preserve">  12:11:38 PM</t>
  </si>
  <si>
    <t xml:space="preserve">  12:32:01 PM</t>
  </si>
  <si>
    <t xml:space="preserve">  2:03:19 PM</t>
  </si>
  <si>
    <t xml:space="preserve">  2:03:49 PM</t>
  </si>
  <si>
    <t xml:space="preserve">  6:35:02 PM</t>
  </si>
  <si>
    <t xml:space="preserve">  6:47:10 PM</t>
  </si>
  <si>
    <t xml:space="preserve">  6:54:16 PM</t>
  </si>
  <si>
    <t xml:space="preserve">  7:59:59 PM</t>
  </si>
  <si>
    <t xml:space="preserve">  7:00:17 PM</t>
  </si>
  <si>
    <t xml:space="preserve">  7:01:46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</si>
</sst>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quotePrefix="1"/>
    <xf numFmtId="0" fontId="18" fillId="0" borderId="0" xfId="42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js23@cornel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FF82-13F4-437F-8A92-3882A09F803D}">
  <dimension ref="A1:S271"/>
  <sheetViews>
    <sheetView topLeftCell="A232" workbookViewId="0">
      <selection activeCell="A232" sqref="A1:XFD1048576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s="1">
        <v>46010.365949074076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  <c r="B4" t="s">
        <v>13</v>
      </c>
      <c r="C4" s="1">
        <v>46008.483171296299</v>
      </c>
      <c r="D4">
        <v>507</v>
      </c>
      <c r="E4">
        <v>223</v>
      </c>
      <c r="F4">
        <v>0</v>
      </c>
      <c r="G4">
        <v>161</v>
      </c>
      <c r="H4">
        <v>199</v>
      </c>
      <c r="I4">
        <v>127</v>
      </c>
      <c r="J4" t="s">
        <v>14</v>
      </c>
    </row>
    <row r="5" spans="1:10" x14ac:dyDescent="0.25">
      <c r="A5" t="s">
        <v>15</v>
      </c>
    </row>
    <row r="6" spans="1:10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10" x14ac:dyDescent="0.25">
      <c r="A7" t="s">
        <v>14</v>
      </c>
      <c r="B7" t="s">
        <v>24</v>
      </c>
      <c r="C7" t="s">
        <v>25</v>
      </c>
      <c r="D7" s="1">
        <v>46008.483171296299</v>
      </c>
      <c r="E7" s="1">
        <v>46008.587430555555</v>
      </c>
      <c r="F7">
        <v>151</v>
      </c>
      <c r="G7" t="s">
        <v>26</v>
      </c>
      <c r="H7" t="s">
        <v>27</v>
      </c>
    </row>
    <row r="8" spans="1:10" x14ac:dyDescent="0.25">
      <c r="A8" t="s">
        <v>14</v>
      </c>
      <c r="B8" t="s">
        <v>24</v>
      </c>
      <c r="C8" t="s">
        <v>25</v>
      </c>
      <c r="D8" s="1">
        <v>46008.579328703701</v>
      </c>
      <c r="E8" s="1">
        <v>46008.647372685184</v>
      </c>
      <c r="F8">
        <v>98</v>
      </c>
      <c r="G8" t="s">
        <v>26</v>
      </c>
      <c r="H8" t="s">
        <v>27</v>
      </c>
    </row>
    <row r="9" spans="1:10" x14ac:dyDescent="0.25">
      <c r="A9" t="s">
        <v>14</v>
      </c>
      <c r="B9" t="s">
        <v>24</v>
      </c>
      <c r="C9" t="s">
        <v>25</v>
      </c>
      <c r="D9" s="1">
        <v>46008.647604166668</v>
      </c>
      <c r="E9" s="1">
        <v>46008.73201388889</v>
      </c>
      <c r="F9">
        <v>122</v>
      </c>
      <c r="G9" t="s">
        <v>26</v>
      </c>
      <c r="H9" t="s">
        <v>27</v>
      </c>
    </row>
    <row r="10" spans="1:10" x14ac:dyDescent="0.25">
      <c r="A10" t="s">
        <v>14</v>
      </c>
      <c r="B10" t="s">
        <v>24</v>
      </c>
      <c r="C10" t="s">
        <v>25</v>
      </c>
      <c r="D10" s="1">
        <v>46008.733391203707</v>
      </c>
      <c r="E10" s="1">
        <v>46008.739675925928</v>
      </c>
      <c r="F10">
        <v>10</v>
      </c>
      <c r="G10" t="s">
        <v>26</v>
      </c>
      <c r="H10" t="s">
        <v>27</v>
      </c>
    </row>
    <row r="11" spans="1:10" x14ac:dyDescent="0.25">
      <c r="A11" t="s">
        <v>14</v>
      </c>
      <c r="B11" t="s">
        <v>24</v>
      </c>
      <c r="C11" t="s">
        <v>25</v>
      </c>
      <c r="D11" s="1">
        <v>46008.737430555557</v>
      </c>
      <c r="E11" s="1">
        <v>46008.787395833337</v>
      </c>
      <c r="F11">
        <v>72</v>
      </c>
      <c r="G11" t="s">
        <v>26</v>
      </c>
      <c r="H11" t="s">
        <v>27</v>
      </c>
    </row>
    <row r="12" spans="1:10" x14ac:dyDescent="0.25">
      <c r="A12" t="s">
        <v>14</v>
      </c>
      <c r="B12" t="s">
        <v>24</v>
      </c>
      <c r="C12" t="s">
        <v>25</v>
      </c>
      <c r="D12" s="1">
        <v>46008.791377314818</v>
      </c>
      <c r="E12" s="1">
        <v>46008.835092592592</v>
      </c>
      <c r="F12">
        <v>63</v>
      </c>
      <c r="G12" t="s">
        <v>26</v>
      </c>
      <c r="H12" t="s">
        <v>27</v>
      </c>
    </row>
    <row r="13" spans="1:10" x14ac:dyDescent="0.25">
      <c r="A13" t="s">
        <v>28</v>
      </c>
    </row>
    <row r="14" spans="1:10" x14ac:dyDescent="0.2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</row>
    <row r="15" spans="1:10" x14ac:dyDescent="0.25">
      <c r="A15" t="s">
        <v>14</v>
      </c>
      <c r="B15" t="s">
        <v>29</v>
      </c>
      <c r="C15" t="s">
        <v>30</v>
      </c>
      <c r="D15" s="1">
        <v>46008.495138888888</v>
      </c>
      <c r="E15" s="1">
        <v>46008.544710648152</v>
      </c>
      <c r="F15">
        <v>72</v>
      </c>
      <c r="G15" t="s">
        <v>14</v>
      </c>
      <c r="H15" t="s">
        <v>27</v>
      </c>
    </row>
    <row r="16" spans="1:10" x14ac:dyDescent="0.25">
      <c r="A16" t="s">
        <v>14</v>
      </c>
      <c r="B16" t="s">
        <v>29</v>
      </c>
      <c r="C16" t="s">
        <v>30</v>
      </c>
      <c r="D16" s="1">
        <v>46008.78665509259</v>
      </c>
      <c r="E16" s="1">
        <v>46008.835092592592</v>
      </c>
      <c r="F16">
        <v>70</v>
      </c>
      <c r="G16" t="s">
        <v>14</v>
      </c>
      <c r="H16" t="s">
        <v>27</v>
      </c>
    </row>
    <row r="17" spans="1:19" x14ac:dyDescent="0.25">
      <c r="A17" t="s">
        <v>31</v>
      </c>
    </row>
    <row r="18" spans="1:19" x14ac:dyDescent="0.25">
      <c r="A18" t="s">
        <v>16</v>
      </c>
      <c r="B18" t="s">
        <v>17</v>
      </c>
      <c r="C18" t="s">
        <v>32</v>
      </c>
      <c r="D18" t="s">
        <v>33</v>
      </c>
      <c r="E18" t="s">
        <v>18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19</v>
      </c>
      <c r="L18" t="s">
        <v>20</v>
      </c>
      <c r="M18" t="s">
        <v>21</v>
      </c>
      <c r="N18" t="s">
        <v>22</v>
      </c>
      <c r="O18" t="s">
        <v>39</v>
      </c>
      <c r="P18" t="s">
        <v>40</v>
      </c>
      <c r="Q18" t="s">
        <v>41</v>
      </c>
      <c r="R18" t="s">
        <v>42</v>
      </c>
      <c r="S18" t="s">
        <v>23</v>
      </c>
    </row>
    <row r="19" spans="1:19" x14ac:dyDescent="0.25">
      <c r="A19" t="s">
        <v>14</v>
      </c>
      <c r="B19" t="s">
        <v>43</v>
      </c>
      <c r="C19" t="s">
        <v>44</v>
      </c>
      <c r="D19" t="s">
        <v>45</v>
      </c>
      <c r="E19" t="s">
        <v>46</v>
      </c>
      <c r="F19" t="s">
        <v>47</v>
      </c>
      <c r="G19">
        <v>46774</v>
      </c>
      <c r="H19" t="s">
        <v>48</v>
      </c>
      <c r="I19" s="1">
        <v>46001.49596064815</v>
      </c>
      <c r="J19" t="s">
        <v>49</v>
      </c>
      <c r="K19" s="1">
        <v>46008.499525462961</v>
      </c>
      <c r="L19" s="1">
        <v>46008.793703703705</v>
      </c>
      <c r="M19">
        <v>424</v>
      </c>
      <c r="N19" t="s">
        <v>14</v>
      </c>
      <c r="O19" t="s">
        <v>50</v>
      </c>
      <c r="P19" t="s">
        <v>51</v>
      </c>
      <c r="Q19">
        <v>0</v>
      </c>
      <c r="R19" t="s">
        <v>52</v>
      </c>
      <c r="S19" t="s">
        <v>27</v>
      </c>
    </row>
    <row r="20" spans="1:19" x14ac:dyDescent="0.25">
      <c r="A20" t="s">
        <v>14</v>
      </c>
      <c r="B20" t="s">
        <v>53</v>
      </c>
      <c r="C20" t="s">
        <v>54</v>
      </c>
      <c r="D20" t="s">
        <v>55</v>
      </c>
      <c r="E20" t="s">
        <v>56</v>
      </c>
      <c r="F20" t="s">
        <v>47</v>
      </c>
      <c r="G20" s="2" t="s">
        <v>57</v>
      </c>
      <c r="H20" t="s">
        <v>58</v>
      </c>
      <c r="I20" s="1">
        <v>46001.496481481481</v>
      </c>
      <c r="J20" t="s">
        <v>49</v>
      </c>
      <c r="K20" s="1">
        <v>46008.506550925929</v>
      </c>
      <c r="L20" s="1">
        <v>46008.544525462959</v>
      </c>
      <c r="M20">
        <v>55</v>
      </c>
      <c r="N20" t="s">
        <v>14</v>
      </c>
      <c r="O20" t="s">
        <v>50</v>
      </c>
      <c r="P20" t="s">
        <v>59</v>
      </c>
      <c r="Q20">
        <v>10000</v>
      </c>
      <c r="R20" t="s">
        <v>52</v>
      </c>
      <c r="S20" t="s">
        <v>27</v>
      </c>
    </row>
    <row r="21" spans="1:19" x14ac:dyDescent="0.25">
      <c r="A21" t="s">
        <v>14</v>
      </c>
      <c r="B21" t="s">
        <v>60</v>
      </c>
      <c r="C21" t="s">
        <v>61</v>
      </c>
      <c r="D21" t="s">
        <v>62</v>
      </c>
      <c r="E21" t="s">
        <v>63</v>
      </c>
      <c r="F21" t="s">
        <v>47</v>
      </c>
      <c r="G21">
        <v>21160</v>
      </c>
      <c r="H21" t="s">
        <v>64</v>
      </c>
      <c r="I21" s="1">
        <v>46001.496805555558</v>
      </c>
      <c r="J21" t="s">
        <v>49</v>
      </c>
      <c r="K21" s="1">
        <v>46008.49763888889</v>
      </c>
      <c r="L21" s="1">
        <v>46008.543020833335</v>
      </c>
      <c r="M21">
        <v>66</v>
      </c>
      <c r="N21" t="s">
        <v>14</v>
      </c>
      <c r="O21" t="s">
        <v>50</v>
      </c>
      <c r="P21" t="s">
        <v>59</v>
      </c>
      <c r="Q21">
        <v>5000</v>
      </c>
      <c r="R21" t="s">
        <v>52</v>
      </c>
      <c r="S21" t="s">
        <v>27</v>
      </c>
    </row>
    <row r="22" spans="1:19" x14ac:dyDescent="0.25">
      <c r="A22" t="s">
        <v>14</v>
      </c>
      <c r="B22" t="s">
        <v>65</v>
      </c>
      <c r="C22" t="s">
        <v>66</v>
      </c>
      <c r="D22" t="s">
        <v>67</v>
      </c>
      <c r="E22" t="s">
        <v>68</v>
      </c>
      <c r="F22" t="s">
        <v>47</v>
      </c>
      <c r="G22" s="2" t="s">
        <v>69</v>
      </c>
      <c r="H22" t="s">
        <v>70</v>
      </c>
      <c r="I22" s="1">
        <v>46001.503530092596</v>
      </c>
      <c r="J22" t="s">
        <v>49</v>
      </c>
      <c r="K22" s="1">
        <v>46008.787731481483</v>
      </c>
      <c r="L22" s="1">
        <v>46008.798819444448</v>
      </c>
      <c r="M22">
        <v>16</v>
      </c>
      <c r="N22" t="s">
        <v>14</v>
      </c>
      <c r="O22" t="s">
        <v>50</v>
      </c>
      <c r="P22" t="s">
        <v>71</v>
      </c>
      <c r="Q22">
        <v>2000</v>
      </c>
      <c r="R22" t="s">
        <v>52</v>
      </c>
      <c r="S22" t="s">
        <v>27</v>
      </c>
    </row>
    <row r="23" spans="1:19" x14ac:dyDescent="0.25">
      <c r="A23" t="s">
        <v>14</v>
      </c>
      <c r="B23" t="s">
        <v>65</v>
      </c>
      <c r="C23" t="s">
        <v>66</v>
      </c>
      <c r="D23" t="s">
        <v>67</v>
      </c>
      <c r="E23" t="s">
        <v>68</v>
      </c>
      <c r="K23" s="1">
        <v>46008.787916666668</v>
      </c>
      <c r="L23" s="1">
        <v>46008.835092592592</v>
      </c>
      <c r="M23">
        <v>68</v>
      </c>
      <c r="N23" t="s">
        <v>14</v>
      </c>
      <c r="S23" t="s">
        <v>27</v>
      </c>
    </row>
    <row r="24" spans="1:19" x14ac:dyDescent="0.25">
      <c r="A24" t="s">
        <v>14</v>
      </c>
      <c r="B24" t="s">
        <v>72</v>
      </c>
      <c r="C24" t="s">
        <v>73</v>
      </c>
      <c r="D24" t="s">
        <v>74</v>
      </c>
      <c r="E24" t="s">
        <v>75</v>
      </c>
      <c r="F24" t="s">
        <v>47</v>
      </c>
      <c r="G24">
        <v>10035</v>
      </c>
      <c r="H24" t="s">
        <v>76</v>
      </c>
      <c r="I24" s="1">
        <v>46001.504074074073</v>
      </c>
      <c r="J24" t="s">
        <v>49</v>
      </c>
      <c r="K24" s="1">
        <v>46008.498263888891</v>
      </c>
      <c r="L24" s="1">
        <v>46008.544490740744</v>
      </c>
      <c r="M24">
        <v>67</v>
      </c>
      <c r="N24" t="s">
        <v>14</v>
      </c>
      <c r="O24" t="s">
        <v>77</v>
      </c>
      <c r="P24" t="s">
        <v>51</v>
      </c>
      <c r="Q24">
        <v>200</v>
      </c>
      <c r="R24" t="s">
        <v>52</v>
      </c>
      <c r="S24" t="s">
        <v>27</v>
      </c>
    </row>
    <row r="25" spans="1:19" x14ac:dyDescent="0.25">
      <c r="A25" t="s">
        <v>14</v>
      </c>
      <c r="B25" t="s">
        <v>78</v>
      </c>
      <c r="C25" t="s">
        <v>79</v>
      </c>
      <c r="D25" t="s">
        <v>80</v>
      </c>
      <c r="E25" t="s">
        <v>81</v>
      </c>
      <c r="F25" t="s">
        <v>47</v>
      </c>
      <c r="G25" s="2" t="s">
        <v>82</v>
      </c>
      <c r="H25" t="s">
        <v>83</v>
      </c>
      <c r="I25" s="1">
        <v>46001.504594907405</v>
      </c>
      <c r="J25" t="s">
        <v>49</v>
      </c>
      <c r="K25" s="1">
        <v>46008.798368055555</v>
      </c>
      <c r="L25" s="1">
        <v>46008.835092592592</v>
      </c>
      <c r="M25">
        <v>53</v>
      </c>
      <c r="N25" t="s">
        <v>14</v>
      </c>
      <c r="O25" t="s">
        <v>50</v>
      </c>
      <c r="P25" t="s">
        <v>71</v>
      </c>
      <c r="Q25">
        <v>50000</v>
      </c>
      <c r="R25" t="s">
        <v>52</v>
      </c>
      <c r="S25" t="s">
        <v>27</v>
      </c>
    </row>
    <row r="26" spans="1:19" x14ac:dyDescent="0.25">
      <c r="A26" t="s">
        <v>14</v>
      </c>
      <c r="B26" t="s">
        <v>84</v>
      </c>
      <c r="C26" t="s">
        <v>85</v>
      </c>
      <c r="D26" t="s">
        <v>86</v>
      </c>
      <c r="E26" t="s">
        <v>87</v>
      </c>
      <c r="F26" t="s">
        <v>47</v>
      </c>
      <c r="G26">
        <v>12123</v>
      </c>
      <c r="H26" t="s">
        <v>76</v>
      </c>
      <c r="I26" s="1">
        <v>46001.508784722224</v>
      </c>
      <c r="J26" t="s">
        <v>49</v>
      </c>
      <c r="K26" s="1">
        <v>46008.783321759256</v>
      </c>
      <c r="L26" s="1">
        <v>46008.791122685187</v>
      </c>
      <c r="M26">
        <v>12</v>
      </c>
      <c r="N26" t="s">
        <v>14</v>
      </c>
      <c r="O26" t="s">
        <v>88</v>
      </c>
      <c r="P26" t="s">
        <v>51</v>
      </c>
      <c r="Q26">
        <v>5</v>
      </c>
      <c r="R26" t="s">
        <v>52</v>
      </c>
      <c r="S26" t="s">
        <v>27</v>
      </c>
    </row>
    <row r="27" spans="1:19" x14ac:dyDescent="0.25">
      <c r="A27" t="s">
        <v>14</v>
      </c>
      <c r="B27" t="s">
        <v>84</v>
      </c>
      <c r="C27" t="s">
        <v>85</v>
      </c>
      <c r="D27" t="s">
        <v>86</v>
      </c>
      <c r="E27" t="s">
        <v>87</v>
      </c>
      <c r="K27" s="1">
        <v>46008.791574074072</v>
      </c>
      <c r="L27" s="1">
        <v>46008.834745370368</v>
      </c>
      <c r="M27">
        <v>63</v>
      </c>
      <c r="N27" t="s">
        <v>14</v>
      </c>
      <c r="S27" t="s">
        <v>27</v>
      </c>
    </row>
    <row r="28" spans="1:19" x14ac:dyDescent="0.25">
      <c r="A28" t="s">
        <v>14</v>
      </c>
      <c r="B28" t="s">
        <v>89</v>
      </c>
      <c r="C28" t="s">
        <v>90</v>
      </c>
      <c r="D28" t="s">
        <v>91</v>
      </c>
      <c r="E28" t="s">
        <v>92</v>
      </c>
      <c r="F28" t="s">
        <v>47</v>
      </c>
      <c r="G28">
        <v>12157</v>
      </c>
      <c r="H28" t="s">
        <v>76</v>
      </c>
      <c r="I28" s="1">
        <v>46001.510034722225</v>
      </c>
      <c r="J28" t="s">
        <v>49</v>
      </c>
      <c r="K28" s="1">
        <v>46008.793379629627</v>
      </c>
      <c r="L28" s="1">
        <v>46008.835092592592</v>
      </c>
      <c r="M28">
        <v>61</v>
      </c>
      <c r="N28" t="s">
        <v>14</v>
      </c>
      <c r="O28" t="s">
        <v>93</v>
      </c>
      <c r="P28" t="s">
        <v>51</v>
      </c>
      <c r="Q28">
        <v>101</v>
      </c>
      <c r="R28" t="s">
        <v>52</v>
      </c>
      <c r="S28" t="s">
        <v>27</v>
      </c>
    </row>
    <row r="29" spans="1:19" x14ac:dyDescent="0.25">
      <c r="A29" t="s">
        <v>14</v>
      </c>
      <c r="B29" t="s">
        <v>94</v>
      </c>
      <c r="C29" t="s">
        <v>95</v>
      </c>
      <c r="D29" t="s">
        <v>96</v>
      </c>
      <c r="E29" t="s">
        <v>97</v>
      </c>
      <c r="F29" t="s">
        <v>47</v>
      </c>
      <c r="G29">
        <v>20175</v>
      </c>
      <c r="H29" t="s">
        <v>98</v>
      </c>
      <c r="I29" s="1">
        <v>46001.511701388888</v>
      </c>
      <c r="J29" t="s">
        <v>49</v>
      </c>
      <c r="K29" s="1">
        <v>46008.494930555556</v>
      </c>
      <c r="L29" s="1">
        <v>46008.533009259256</v>
      </c>
      <c r="M29">
        <v>55</v>
      </c>
      <c r="N29" t="s">
        <v>14</v>
      </c>
      <c r="O29" t="s">
        <v>99</v>
      </c>
      <c r="P29" t="s">
        <v>51</v>
      </c>
      <c r="Q29">
        <v>1</v>
      </c>
      <c r="R29" t="s">
        <v>52</v>
      </c>
      <c r="S29" t="s">
        <v>27</v>
      </c>
    </row>
    <row r="30" spans="1:19" x14ac:dyDescent="0.25">
      <c r="A30" t="s">
        <v>14</v>
      </c>
      <c r="B30" t="s">
        <v>100</v>
      </c>
      <c r="C30" t="s">
        <v>73</v>
      </c>
      <c r="D30" t="s">
        <v>101</v>
      </c>
      <c r="E30" t="s">
        <v>102</v>
      </c>
      <c r="F30" t="s">
        <v>47</v>
      </c>
      <c r="G30">
        <v>13846</v>
      </c>
      <c r="H30" t="s">
        <v>76</v>
      </c>
      <c r="I30" s="1">
        <v>46001.512291666666</v>
      </c>
      <c r="J30" t="s">
        <v>49</v>
      </c>
      <c r="K30" s="1">
        <v>46008.502418981479</v>
      </c>
      <c r="L30" s="1">
        <v>46008.544861111113</v>
      </c>
      <c r="M30">
        <v>62</v>
      </c>
      <c r="N30" t="s">
        <v>14</v>
      </c>
      <c r="O30" t="s">
        <v>50</v>
      </c>
      <c r="P30" t="s">
        <v>103</v>
      </c>
      <c r="Q30">
        <v>10000</v>
      </c>
      <c r="R30" t="s">
        <v>52</v>
      </c>
      <c r="S30" t="s">
        <v>27</v>
      </c>
    </row>
    <row r="31" spans="1:19" x14ac:dyDescent="0.25">
      <c r="A31" t="s">
        <v>14</v>
      </c>
      <c r="B31" t="s">
        <v>104</v>
      </c>
      <c r="C31" t="s">
        <v>105</v>
      </c>
      <c r="D31" t="s">
        <v>106</v>
      </c>
      <c r="E31" t="s">
        <v>107</v>
      </c>
      <c r="F31" t="s">
        <v>47</v>
      </c>
      <c r="G31">
        <v>12983</v>
      </c>
      <c r="H31" t="s">
        <v>76</v>
      </c>
      <c r="I31" s="1">
        <v>46001.515023148146</v>
      </c>
      <c r="J31" t="s">
        <v>49</v>
      </c>
      <c r="K31" s="1">
        <v>46008.501192129632</v>
      </c>
      <c r="L31" s="1">
        <v>46008.531898148147</v>
      </c>
      <c r="M31">
        <v>45</v>
      </c>
      <c r="N31" t="s">
        <v>14</v>
      </c>
      <c r="O31" t="s">
        <v>77</v>
      </c>
      <c r="P31" t="s">
        <v>51</v>
      </c>
      <c r="Q31">
        <v>0</v>
      </c>
      <c r="R31" t="s">
        <v>52</v>
      </c>
      <c r="S31" t="s">
        <v>27</v>
      </c>
    </row>
    <row r="32" spans="1:19" x14ac:dyDescent="0.25">
      <c r="A32" t="s">
        <v>14</v>
      </c>
      <c r="B32" t="s">
        <v>108</v>
      </c>
      <c r="C32" t="s">
        <v>109</v>
      </c>
      <c r="D32" t="s">
        <v>110</v>
      </c>
      <c r="E32" t="s">
        <v>111</v>
      </c>
      <c r="F32" t="s">
        <v>47</v>
      </c>
      <c r="G32" s="2" t="s">
        <v>112</v>
      </c>
      <c r="H32" t="s">
        <v>70</v>
      </c>
      <c r="I32" s="1">
        <v>46001.515347222223</v>
      </c>
      <c r="J32" t="s">
        <v>49</v>
      </c>
      <c r="K32" s="1">
        <v>46008.789930555555</v>
      </c>
      <c r="L32" s="1">
        <v>46008.834583333337</v>
      </c>
      <c r="M32">
        <v>65</v>
      </c>
      <c r="N32" t="s">
        <v>14</v>
      </c>
      <c r="O32" t="s">
        <v>50</v>
      </c>
      <c r="P32" t="s">
        <v>59</v>
      </c>
      <c r="Q32">
        <v>1000</v>
      </c>
      <c r="R32" t="s">
        <v>113</v>
      </c>
      <c r="S32" t="s">
        <v>27</v>
      </c>
    </row>
    <row r="33" spans="1:19" x14ac:dyDescent="0.25">
      <c r="A33" t="s">
        <v>14</v>
      </c>
      <c r="B33" t="s">
        <v>114</v>
      </c>
      <c r="C33" t="s">
        <v>115</v>
      </c>
      <c r="D33" t="s">
        <v>116</v>
      </c>
      <c r="E33" t="s">
        <v>117</v>
      </c>
      <c r="F33" t="s">
        <v>47</v>
      </c>
      <c r="G33">
        <v>10940</v>
      </c>
      <c r="H33" t="s">
        <v>76</v>
      </c>
      <c r="I33" s="1">
        <v>46001.543553240743</v>
      </c>
      <c r="J33" t="s">
        <v>49</v>
      </c>
      <c r="K33" s="1">
        <v>46008.790717592594</v>
      </c>
      <c r="L33" s="1">
        <v>46008.835092592592</v>
      </c>
      <c r="M33">
        <v>64</v>
      </c>
      <c r="N33" t="s">
        <v>26</v>
      </c>
      <c r="O33" t="s">
        <v>88</v>
      </c>
      <c r="P33" t="s">
        <v>51</v>
      </c>
      <c r="Q33">
        <v>45</v>
      </c>
      <c r="R33" t="s">
        <v>52</v>
      </c>
      <c r="S33" t="s">
        <v>27</v>
      </c>
    </row>
    <row r="34" spans="1:19" x14ac:dyDescent="0.25">
      <c r="A34" t="s">
        <v>14</v>
      </c>
      <c r="B34" t="s">
        <v>118</v>
      </c>
      <c r="C34" t="s">
        <v>119</v>
      </c>
      <c r="D34" t="s">
        <v>120</v>
      </c>
      <c r="E34" t="s">
        <v>121</v>
      </c>
      <c r="F34" t="s">
        <v>47</v>
      </c>
      <c r="G34" s="2" t="s">
        <v>122</v>
      </c>
      <c r="H34" t="s">
        <v>123</v>
      </c>
      <c r="I34" s="1">
        <v>46001.551770833335</v>
      </c>
      <c r="J34" t="s">
        <v>49</v>
      </c>
      <c r="K34" s="1">
        <v>46008.791076388887</v>
      </c>
      <c r="L34" s="1">
        <v>46008.835069444445</v>
      </c>
      <c r="M34">
        <v>64</v>
      </c>
      <c r="N34" t="s">
        <v>14</v>
      </c>
      <c r="O34" t="s">
        <v>88</v>
      </c>
      <c r="P34" t="s">
        <v>51</v>
      </c>
      <c r="Q34">
        <v>25</v>
      </c>
      <c r="R34" t="s">
        <v>113</v>
      </c>
      <c r="S34" t="s">
        <v>27</v>
      </c>
    </row>
    <row r="35" spans="1:19" x14ac:dyDescent="0.25">
      <c r="A35" t="s">
        <v>14</v>
      </c>
      <c r="B35" t="s">
        <v>124</v>
      </c>
      <c r="C35" t="s">
        <v>125</v>
      </c>
      <c r="D35" t="s">
        <v>126</v>
      </c>
      <c r="E35" t="s">
        <v>127</v>
      </c>
      <c r="F35" t="s">
        <v>47</v>
      </c>
      <c r="G35">
        <v>12065</v>
      </c>
      <c r="H35" t="s">
        <v>76</v>
      </c>
      <c r="I35" s="1">
        <v>46001.555532407408</v>
      </c>
      <c r="J35" t="s">
        <v>49</v>
      </c>
      <c r="K35" s="1">
        <v>46008.500277777777</v>
      </c>
      <c r="L35" s="1">
        <v>46008.544710648152</v>
      </c>
      <c r="M35">
        <v>64</v>
      </c>
      <c r="N35" t="s">
        <v>14</v>
      </c>
      <c r="O35" t="s">
        <v>77</v>
      </c>
      <c r="P35" t="s">
        <v>51</v>
      </c>
      <c r="Q35">
        <v>0</v>
      </c>
      <c r="R35" t="s">
        <v>113</v>
      </c>
      <c r="S35" t="s">
        <v>27</v>
      </c>
    </row>
    <row r="36" spans="1:19" x14ac:dyDescent="0.25">
      <c r="A36" t="s">
        <v>14</v>
      </c>
      <c r="B36" t="s">
        <v>128</v>
      </c>
      <c r="C36" t="s">
        <v>129</v>
      </c>
      <c r="D36" t="s">
        <v>130</v>
      </c>
      <c r="E36" t="s">
        <v>131</v>
      </c>
      <c r="F36" t="s">
        <v>47</v>
      </c>
      <c r="G36" s="2" t="s">
        <v>132</v>
      </c>
      <c r="H36" t="s">
        <v>123</v>
      </c>
      <c r="I36" s="1">
        <v>46001.559050925927</v>
      </c>
      <c r="J36" t="s">
        <v>49</v>
      </c>
      <c r="K36" s="1">
        <v>46008.499780092592</v>
      </c>
      <c r="L36" s="1">
        <v>46008.546006944445</v>
      </c>
      <c r="M36">
        <v>67</v>
      </c>
      <c r="N36" t="s">
        <v>14</v>
      </c>
      <c r="O36" t="s">
        <v>93</v>
      </c>
      <c r="P36" t="s">
        <v>51</v>
      </c>
      <c r="Q36">
        <v>26</v>
      </c>
      <c r="R36" t="s">
        <v>113</v>
      </c>
      <c r="S36" t="s">
        <v>27</v>
      </c>
    </row>
    <row r="37" spans="1:19" x14ac:dyDescent="0.25">
      <c r="A37" t="s">
        <v>14</v>
      </c>
      <c r="B37" t="s">
        <v>133</v>
      </c>
      <c r="C37" t="s">
        <v>119</v>
      </c>
      <c r="D37" t="s">
        <v>134</v>
      </c>
      <c r="E37" t="s">
        <v>135</v>
      </c>
      <c r="F37" t="s">
        <v>47</v>
      </c>
      <c r="G37">
        <v>14850</v>
      </c>
      <c r="H37" t="s">
        <v>76</v>
      </c>
      <c r="I37" s="1">
        <v>46001.563368055555</v>
      </c>
      <c r="J37" t="s">
        <v>49</v>
      </c>
      <c r="K37" s="1">
        <v>46008.500636574077</v>
      </c>
      <c r="L37" s="1">
        <v>46008.54478009259</v>
      </c>
      <c r="M37">
        <v>64</v>
      </c>
      <c r="N37" t="s">
        <v>26</v>
      </c>
      <c r="O37" t="s">
        <v>136</v>
      </c>
      <c r="P37" t="s">
        <v>51</v>
      </c>
      <c r="Q37">
        <v>0</v>
      </c>
      <c r="R37" t="s">
        <v>52</v>
      </c>
      <c r="S37" t="s">
        <v>27</v>
      </c>
    </row>
    <row r="38" spans="1:19" x14ac:dyDescent="0.25">
      <c r="A38" t="s">
        <v>14</v>
      </c>
      <c r="B38" t="s">
        <v>137</v>
      </c>
      <c r="C38" t="s">
        <v>138</v>
      </c>
      <c r="D38" t="s">
        <v>139</v>
      </c>
      <c r="E38" t="s">
        <v>140</v>
      </c>
      <c r="F38" t="s">
        <v>47</v>
      </c>
      <c r="G38" s="2" t="s">
        <v>141</v>
      </c>
      <c r="H38" t="s">
        <v>142</v>
      </c>
      <c r="I38" s="1">
        <v>46001.567372685182</v>
      </c>
      <c r="J38" t="s">
        <v>49</v>
      </c>
      <c r="K38" s="1">
        <v>46008.499768518515</v>
      </c>
      <c r="L38" s="1">
        <v>46008.539398148147</v>
      </c>
      <c r="M38">
        <v>58</v>
      </c>
      <c r="N38" t="s">
        <v>14</v>
      </c>
      <c r="O38" t="s">
        <v>50</v>
      </c>
      <c r="P38" t="s">
        <v>71</v>
      </c>
      <c r="Q38">
        <v>1000</v>
      </c>
      <c r="R38" t="s">
        <v>52</v>
      </c>
      <c r="S38" t="s">
        <v>27</v>
      </c>
    </row>
    <row r="39" spans="1:19" x14ac:dyDescent="0.25">
      <c r="A39" t="s">
        <v>14</v>
      </c>
      <c r="B39" t="s">
        <v>143</v>
      </c>
      <c r="C39" t="s">
        <v>144</v>
      </c>
      <c r="D39" t="s">
        <v>145</v>
      </c>
      <c r="E39" t="s">
        <v>146</v>
      </c>
      <c r="F39" t="s">
        <v>147</v>
      </c>
      <c r="G39" t="s">
        <v>148</v>
      </c>
      <c r="H39" t="s">
        <v>149</v>
      </c>
      <c r="I39" s="1">
        <v>46001.571909722225</v>
      </c>
      <c r="J39" t="s">
        <v>49</v>
      </c>
      <c r="K39" s="1">
        <v>46008.500914351855</v>
      </c>
      <c r="L39" s="1">
        <v>46008.835092592592</v>
      </c>
      <c r="M39">
        <v>482</v>
      </c>
      <c r="N39" t="s">
        <v>14</v>
      </c>
      <c r="O39" t="s">
        <v>50</v>
      </c>
      <c r="P39" t="s">
        <v>51</v>
      </c>
      <c r="Q39">
        <v>1000</v>
      </c>
      <c r="R39" t="s">
        <v>52</v>
      </c>
      <c r="S39" t="s">
        <v>150</v>
      </c>
    </row>
    <row r="40" spans="1:19" x14ac:dyDescent="0.25">
      <c r="A40" t="s">
        <v>14</v>
      </c>
      <c r="B40" t="s">
        <v>151</v>
      </c>
      <c r="C40" t="s">
        <v>152</v>
      </c>
      <c r="D40" t="s">
        <v>153</v>
      </c>
      <c r="E40" t="s">
        <v>154</v>
      </c>
      <c r="F40" t="s">
        <v>47</v>
      </c>
      <c r="G40">
        <v>83703</v>
      </c>
      <c r="H40" t="s">
        <v>155</v>
      </c>
      <c r="I40" s="1">
        <v>46001.572256944448</v>
      </c>
      <c r="J40" t="s">
        <v>49</v>
      </c>
      <c r="K40" s="1">
        <v>46008.496782407405</v>
      </c>
      <c r="L40" s="1">
        <v>46008.544675925928</v>
      </c>
      <c r="M40">
        <v>69</v>
      </c>
      <c r="N40" t="s">
        <v>14</v>
      </c>
      <c r="O40" t="s">
        <v>156</v>
      </c>
      <c r="P40" t="s">
        <v>103</v>
      </c>
      <c r="Q40">
        <v>0</v>
      </c>
      <c r="R40" t="s">
        <v>52</v>
      </c>
      <c r="S40" t="s">
        <v>27</v>
      </c>
    </row>
    <row r="41" spans="1:19" x14ac:dyDescent="0.25">
      <c r="A41" t="s">
        <v>14</v>
      </c>
      <c r="B41" t="s">
        <v>157</v>
      </c>
      <c r="C41" t="s">
        <v>158</v>
      </c>
      <c r="D41" t="s">
        <v>159</v>
      </c>
      <c r="E41" t="s">
        <v>160</v>
      </c>
      <c r="F41" t="s">
        <v>47</v>
      </c>
      <c r="G41">
        <v>14850</v>
      </c>
      <c r="H41" t="s">
        <v>76</v>
      </c>
      <c r="I41" s="1">
        <v>46001.573564814818</v>
      </c>
      <c r="J41" t="s">
        <v>49</v>
      </c>
      <c r="K41" s="1">
        <v>46008.498136574075</v>
      </c>
      <c r="L41" s="1">
        <v>46008.532777777778</v>
      </c>
      <c r="M41">
        <v>50</v>
      </c>
      <c r="N41" t="s">
        <v>14</v>
      </c>
      <c r="O41" t="s">
        <v>88</v>
      </c>
      <c r="P41" t="s">
        <v>136</v>
      </c>
      <c r="Q41">
        <v>170</v>
      </c>
      <c r="R41" t="s">
        <v>113</v>
      </c>
      <c r="S41" t="s">
        <v>27</v>
      </c>
    </row>
    <row r="42" spans="1:19" x14ac:dyDescent="0.25">
      <c r="A42" t="s">
        <v>14</v>
      </c>
      <c r="B42" t="s">
        <v>161</v>
      </c>
      <c r="C42" t="s">
        <v>162</v>
      </c>
      <c r="D42" t="s">
        <v>163</v>
      </c>
      <c r="E42" t="s">
        <v>164</v>
      </c>
      <c r="F42" t="s">
        <v>47</v>
      </c>
      <c r="G42">
        <v>16354</v>
      </c>
      <c r="H42" t="s">
        <v>165</v>
      </c>
      <c r="I42" s="1">
        <v>46001.593287037038</v>
      </c>
      <c r="J42" t="s">
        <v>49</v>
      </c>
      <c r="K42" s="1">
        <v>46008.492974537039</v>
      </c>
      <c r="L42" s="1">
        <v>46008.546724537038</v>
      </c>
      <c r="M42">
        <v>78</v>
      </c>
      <c r="N42" t="s">
        <v>14</v>
      </c>
      <c r="O42" t="s">
        <v>50</v>
      </c>
      <c r="P42" t="s">
        <v>103</v>
      </c>
      <c r="Q42">
        <v>3000</v>
      </c>
      <c r="R42" t="s">
        <v>52</v>
      </c>
      <c r="S42" t="s">
        <v>27</v>
      </c>
    </row>
    <row r="43" spans="1:19" x14ac:dyDescent="0.25">
      <c r="A43" t="s">
        <v>14</v>
      </c>
      <c r="B43" t="s">
        <v>166</v>
      </c>
      <c r="C43" t="s">
        <v>167</v>
      </c>
      <c r="D43" t="s">
        <v>167</v>
      </c>
      <c r="E43" t="s">
        <v>168</v>
      </c>
      <c r="F43" t="s">
        <v>47</v>
      </c>
      <c r="G43" s="2" t="s">
        <v>169</v>
      </c>
      <c r="H43" t="s">
        <v>170</v>
      </c>
      <c r="I43" s="1">
        <v>46001.597372685188</v>
      </c>
      <c r="J43" t="s">
        <v>49</v>
      </c>
      <c r="K43" s="1">
        <v>46008.49695601852</v>
      </c>
      <c r="L43" s="1">
        <v>46008.544814814813</v>
      </c>
      <c r="M43">
        <v>69</v>
      </c>
      <c r="N43" t="s">
        <v>14</v>
      </c>
      <c r="O43" t="s">
        <v>50</v>
      </c>
      <c r="P43" t="s">
        <v>59</v>
      </c>
      <c r="Q43">
        <v>60</v>
      </c>
      <c r="R43" t="s">
        <v>113</v>
      </c>
      <c r="S43" t="s">
        <v>27</v>
      </c>
    </row>
    <row r="44" spans="1:19" x14ac:dyDescent="0.25">
      <c r="A44" t="s">
        <v>14</v>
      </c>
      <c r="B44" t="s">
        <v>171</v>
      </c>
      <c r="C44" t="s">
        <v>172</v>
      </c>
      <c r="D44" t="s">
        <v>173</v>
      </c>
      <c r="E44" t="s">
        <v>174</v>
      </c>
      <c r="F44" t="s">
        <v>47</v>
      </c>
      <c r="G44" s="2" t="s">
        <v>175</v>
      </c>
      <c r="H44" t="s">
        <v>176</v>
      </c>
      <c r="I44" s="1">
        <v>46001.599386574075</v>
      </c>
      <c r="J44" t="s">
        <v>49</v>
      </c>
      <c r="K44" s="1">
        <v>46008.499398148146</v>
      </c>
      <c r="L44" s="1">
        <v>46008.582106481481</v>
      </c>
      <c r="M44">
        <v>120</v>
      </c>
      <c r="N44" t="s">
        <v>14</v>
      </c>
      <c r="O44" t="s">
        <v>177</v>
      </c>
      <c r="P44" t="s">
        <v>51</v>
      </c>
      <c r="Q44">
        <v>30</v>
      </c>
      <c r="R44" t="s">
        <v>52</v>
      </c>
      <c r="S44" t="s">
        <v>27</v>
      </c>
    </row>
    <row r="45" spans="1:19" x14ac:dyDescent="0.25">
      <c r="A45" t="s">
        <v>14</v>
      </c>
      <c r="B45" t="s">
        <v>171</v>
      </c>
      <c r="C45" t="s">
        <v>172</v>
      </c>
      <c r="D45" t="s">
        <v>173</v>
      </c>
      <c r="E45" t="s">
        <v>174</v>
      </c>
      <c r="K45" s="1">
        <v>46008.500162037039</v>
      </c>
      <c r="L45" s="1">
        <v>46008.500277777777</v>
      </c>
      <c r="M45">
        <v>1</v>
      </c>
      <c r="N45" t="s">
        <v>14</v>
      </c>
      <c r="S45" t="s">
        <v>27</v>
      </c>
    </row>
    <row r="46" spans="1:19" x14ac:dyDescent="0.25">
      <c r="A46" t="s">
        <v>14</v>
      </c>
      <c r="B46" t="s">
        <v>178</v>
      </c>
      <c r="C46" t="s">
        <v>179</v>
      </c>
      <c r="D46" t="s">
        <v>180</v>
      </c>
      <c r="E46" t="s">
        <v>181</v>
      </c>
      <c r="F46" t="s">
        <v>47</v>
      </c>
      <c r="G46">
        <v>65803</v>
      </c>
      <c r="H46" t="s">
        <v>182</v>
      </c>
      <c r="I46" s="1">
        <v>46001.601909722223</v>
      </c>
      <c r="J46" t="s">
        <v>49</v>
      </c>
      <c r="K46" s="1">
        <v>46008.498645833337</v>
      </c>
      <c r="L46" s="1">
        <v>46008.546377314815</v>
      </c>
      <c r="M46">
        <v>69</v>
      </c>
      <c r="N46" t="s">
        <v>14</v>
      </c>
      <c r="O46" t="s">
        <v>77</v>
      </c>
      <c r="P46" t="s">
        <v>103</v>
      </c>
      <c r="Q46">
        <v>0</v>
      </c>
      <c r="R46" t="s">
        <v>52</v>
      </c>
      <c r="S46" t="s">
        <v>27</v>
      </c>
    </row>
    <row r="47" spans="1:19" x14ac:dyDescent="0.25">
      <c r="A47" t="s">
        <v>14</v>
      </c>
      <c r="B47" t="s">
        <v>178</v>
      </c>
      <c r="C47" t="s">
        <v>179</v>
      </c>
      <c r="D47" t="s">
        <v>180</v>
      </c>
      <c r="E47" t="s">
        <v>181</v>
      </c>
      <c r="K47" s="1">
        <v>46008.498831018522</v>
      </c>
      <c r="L47" s="1">
        <v>46008.498888888891</v>
      </c>
      <c r="M47">
        <v>1</v>
      </c>
      <c r="N47" t="s">
        <v>14</v>
      </c>
      <c r="S47" t="s">
        <v>27</v>
      </c>
    </row>
    <row r="48" spans="1:19" x14ac:dyDescent="0.25">
      <c r="A48" t="s">
        <v>14</v>
      </c>
      <c r="B48" t="s">
        <v>183</v>
      </c>
      <c r="C48" t="s">
        <v>184</v>
      </c>
      <c r="D48" t="s">
        <v>185</v>
      </c>
      <c r="E48" t="s">
        <v>186</v>
      </c>
      <c r="F48" t="s">
        <v>47</v>
      </c>
      <c r="G48">
        <v>10507</v>
      </c>
      <c r="H48" t="s">
        <v>76</v>
      </c>
      <c r="I48" s="1">
        <v>46001.603379629632</v>
      </c>
      <c r="J48" t="s">
        <v>49</v>
      </c>
      <c r="K48" s="1">
        <v>46008.496724537035</v>
      </c>
      <c r="L48" s="1">
        <v>46008.556122685186</v>
      </c>
      <c r="M48">
        <v>86</v>
      </c>
      <c r="N48" t="s">
        <v>14</v>
      </c>
      <c r="O48" t="s">
        <v>77</v>
      </c>
      <c r="P48" t="s">
        <v>136</v>
      </c>
      <c r="Q48" t="s">
        <v>187</v>
      </c>
      <c r="R48" t="s">
        <v>113</v>
      </c>
      <c r="S48" t="s">
        <v>27</v>
      </c>
    </row>
    <row r="49" spans="1:19" x14ac:dyDescent="0.25">
      <c r="A49" t="s">
        <v>14</v>
      </c>
      <c r="B49" t="s">
        <v>188</v>
      </c>
      <c r="C49" t="s">
        <v>189</v>
      </c>
      <c r="D49" t="s">
        <v>190</v>
      </c>
      <c r="E49" t="s">
        <v>191</v>
      </c>
      <c r="F49" t="s">
        <v>47</v>
      </c>
      <c r="G49">
        <v>12946</v>
      </c>
      <c r="H49" t="s">
        <v>76</v>
      </c>
      <c r="I49" s="1">
        <v>46001.620925925927</v>
      </c>
      <c r="J49" t="s">
        <v>49</v>
      </c>
      <c r="K49" s="1">
        <v>46008.507824074077</v>
      </c>
      <c r="L49" s="1">
        <v>46008.544664351852</v>
      </c>
      <c r="M49">
        <v>54</v>
      </c>
      <c r="N49" t="s">
        <v>26</v>
      </c>
      <c r="O49" t="s">
        <v>99</v>
      </c>
      <c r="P49" t="s">
        <v>51</v>
      </c>
      <c r="Q49">
        <v>350</v>
      </c>
      <c r="R49" t="s">
        <v>52</v>
      </c>
      <c r="S49" t="s">
        <v>27</v>
      </c>
    </row>
    <row r="50" spans="1:19" x14ac:dyDescent="0.25">
      <c r="A50" t="s">
        <v>14</v>
      </c>
      <c r="B50" t="s">
        <v>192</v>
      </c>
      <c r="C50" t="s">
        <v>193</v>
      </c>
      <c r="D50" t="s">
        <v>194</v>
      </c>
      <c r="E50" t="s">
        <v>195</v>
      </c>
      <c r="F50" t="s">
        <v>47</v>
      </c>
      <c r="G50">
        <v>17737</v>
      </c>
      <c r="H50" t="s">
        <v>165</v>
      </c>
      <c r="I50" s="1">
        <v>46001.625497685185</v>
      </c>
      <c r="J50" t="s">
        <v>49</v>
      </c>
      <c r="K50" s="1">
        <v>46008.788263888891</v>
      </c>
      <c r="L50" s="1">
        <v>46008.835092592592</v>
      </c>
      <c r="M50">
        <v>68</v>
      </c>
      <c r="N50" t="s">
        <v>14</v>
      </c>
      <c r="O50" t="s">
        <v>50</v>
      </c>
      <c r="P50" t="s">
        <v>103</v>
      </c>
      <c r="Q50">
        <v>30000</v>
      </c>
      <c r="R50" t="s">
        <v>52</v>
      </c>
      <c r="S50" t="s">
        <v>27</v>
      </c>
    </row>
    <row r="51" spans="1:19" x14ac:dyDescent="0.25">
      <c r="A51" t="s">
        <v>14</v>
      </c>
      <c r="B51" t="s">
        <v>196</v>
      </c>
      <c r="C51" t="s">
        <v>197</v>
      </c>
      <c r="D51" t="s">
        <v>198</v>
      </c>
      <c r="E51" t="s">
        <v>199</v>
      </c>
      <c r="F51" t="s">
        <v>47</v>
      </c>
      <c r="G51">
        <v>21620</v>
      </c>
      <c r="H51" t="s">
        <v>64</v>
      </c>
      <c r="I51" s="1">
        <v>46001.633136574077</v>
      </c>
      <c r="J51" t="s">
        <v>49</v>
      </c>
      <c r="K51" s="1">
        <v>46008.500127314815</v>
      </c>
      <c r="L51" s="1">
        <v>46008.544571759259</v>
      </c>
      <c r="M51">
        <v>64</v>
      </c>
      <c r="N51" t="s">
        <v>14</v>
      </c>
      <c r="O51" t="s">
        <v>50</v>
      </c>
      <c r="P51" t="s">
        <v>71</v>
      </c>
      <c r="Q51">
        <v>500</v>
      </c>
      <c r="R51" t="s">
        <v>52</v>
      </c>
      <c r="S51" t="s">
        <v>27</v>
      </c>
    </row>
    <row r="52" spans="1:19" x14ac:dyDescent="0.25">
      <c r="A52" t="s">
        <v>14</v>
      </c>
      <c r="B52" t="s">
        <v>200</v>
      </c>
      <c r="C52" t="s">
        <v>109</v>
      </c>
      <c r="D52" t="s">
        <v>201</v>
      </c>
      <c r="E52" t="s">
        <v>202</v>
      </c>
      <c r="F52" t="s">
        <v>47</v>
      </c>
      <c r="G52">
        <v>14701</v>
      </c>
      <c r="H52" t="s">
        <v>76</v>
      </c>
      <c r="I52" s="1">
        <v>46001.669224537036</v>
      </c>
      <c r="J52" t="s">
        <v>49</v>
      </c>
      <c r="K52" s="1">
        <v>46008.783055555556</v>
      </c>
      <c r="L52" s="1">
        <v>46008.835092592592</v>
      </c>
      <c r="M52">
        <v>75</v>
      </c>
      <c r="N52" t="s">
        <v>14</v>
      </c>
      <c r="O52" t="s">
        <v>50</v>
      </c>
      <c r="P52" t="s">
        <v>103</v>
      </c>
      <c r="Q52">
        <v>500</v>
      </c>
      <c r="R52" t="s">
        <v>52</v>
      </c>
      <c r="S52" t="s">
        <v>27</v>
      </c>
    </row>
    <row r="53" spans="1:19" x14ac:dyDescent="0.25">
      <c r="A53" t="s">
        <v>14</v>
      </c>
      <c r="B53" t="s">
        <v>203</v>
      </c>
      <c r="C53" t="s">
        <v>204</v>
      </c>
      <c r="D53" t="s">
        <v>205</v>
      </c>
      <c r="E53" t="s">
        <v>206</v>
      </c>
      <c r="F53" t="s">
        <v>47</v>
      </c>
      <c r="G53" t="str">
        <f>"04487-7324"</f>
        <v>04487-7324</v>
      </c>
      <c r="H53" t="s">
        <v>170</v>
      </c>
      <c r="I53" s="1">
        <v>46001.670023148145</v>
      </c>
      <c r="J53" t="s">
        <v>49</v>
      </c>
      <c r="K53" s="1">
        <v>46008.493750000001</v>
      </c>
      <c r="L53" s="1">
        <v>46008.544733796298</v>
      </c>
      <c r="M53">
        <v>74</v>
      </c>
      <c r="N53" t="s">
        <v>14</v>
      </c>
      <c r="O53" t="s">
        <v>50</v>
      </c>
      <c r="P53" t="s">
        <v>51</v>
      </c>
      <c r="Q53">
        <v>4000</v>
      </c>
      <c r="R53" t="s">
        <v>52</v>
      </c>
      <c r="S53" t="s">
        <v>27</v>
      </c>
    </row>
    <row r="54" spans="1:19" x14ac:dyDescent="0.25">
      <c r="A54" t="s">
        <v>14</v>
      </c>
      <c r="B54" t="s">
        <v>207</v>
      </c>
      <c r="C54" t="s">
        <v>208</v>
      </c>
      <c r="D54" t="s">
        <v>209</v>
      </c>
      <c r="E54" t="s">
        <v>210</v>
      </c>
      <c r="F54" t="s">
        <v>47</v>
      </c>
      <c r="G54">
        <v>27896</v>
      </c>
      <c r="H54" t="s">
        <v>211</v>
      </c>
      <c r="I54" s="1">
        <v>46001.678784722222</v>
      </c>
      <c r="J54" t="s">
        <v>49</v>
      </c>
      <c r="K54" s="1">
        <v>46008.493703703702</v>
      </c>
      <c r="L54" s="1">
        <v>46008.54483796296</v>
      </c>
      <c r="M54">
        <v>74</v>
      </c>
      <c r="N54" t="s">
        <v>14</v>
      </c>
      <c r="O54" t="s">
        <v>50</v>
      </c>
      <c r="P54" t="s">
        <v>59</v>
      </c>
      <c r="Q54">
        <v>3000</v>
      </c>
      <c r="R54" t="s">
        <v>52</v>
      </c>
      <c r="S54" t="s">
        <v>27</v>
      </c>
    </row>
    <row r="55" spans="1:19" x14ac:dyDescent="0.25">
      <c r="A55" t="s">
        <v>14</v>
      </c>
      <c r="B55" t="s">
        <v>212</v>
      </c>
      <c r="C55" t="s">
        <v>213</v>
      </c>
      <c r="D55" t="s">
        <v>214</v>
      </c>
      <c r="E55" t="s">
        <v>215</v>
      </c>
      <c r="F55" t="s">
        <v>47</v>
      </c>
      <c r="G55">
        <v>12431</v>
      </c>
      <c r="H55" t="s">
        <v>76</v>
      </c>
      <c r="I55" s="1">
        <v>46001.686956018515</v>
      </c>
      <c r="J55" t="s">
        <v>49</v>
      </c>
      <c r="K55" s="1">
        <v>46008.793206018519</v>
      </c>
      <c r="L55" s="1">
        <v>46008.835092592592</v>
      </c>
      <c r="M55">
        <v>61</v>
      </c>
      <c r="N55" t="s">
        <v>14</v>
      </c>
      <c r="O55" t="s">
        <v>136</v>
      </c>
      <c r="P55" t="s">
        <v>216</v>
      </c>
      <c r="Q55">
        <v>110</v>
      </c>
      <c r="R55" t="s">
        <v>52</v>
      </c>
      <c r="S55" t="s">
        <v>27</v>
      </c>
    </row>
    <row r="56" spans="1:19" x14ac:dyDescent="0.25">
      <c r="A56" t="s">
        <v>14</v>
      </c>
      <c r="B56" t="s">
        <v>217</v>
      </c>
      <c r="C56" t="s">
        <v>218</v>
      </c>
      <c r="D56" t="s">
        <v>219</v>
      </c>
      <c r="E56" t="s">
        <v>220</v>
      </c>
      <c r="F56" t="s">
        <v>47</v>
      </c>
      <c r="G56">
        <v>14424</v>
      </c>
      <c r="H56" t="s">
        <v>76</v>
      </c>
      <c r="I56" s="1">
        <v>46001.748819444445</v>
      </c>
      <c r="J56" t="s">
        <v>49</v>
      </c>
      <c r="K56" s="1">
        <v>46008.794652777775</v>
      </c>
      <c r="L56" s="1">
        <v>46008.835092592592</v>
      </c>
      <c r="M56">
        <v>59</v>
      </c>
      <c r="N56" t="s">
        <v>14</v>
      </c>
      <c r="O56" t="s">
        <v>88</v>
      </c>
      <c r="P56" t="s">
        <v>51</v>
      </c>
      <c r="Q56">
        <v>32</v>
      </c>
      <c r="R56" t="s">
        <v>52</v>
      </c>
      <c r="S56" t="s">
        <v>27</v>
      </c>
    </row>
    <row r="57" spans="1:19" x14ac:dyDescent="0.25">
      <c r="A57" t="s">
        <v>14</v>
      </c>
      <c r="B57" t="s">
        <v>221</v>
      </c>
      <c r="C57" t="s">
        <v>222</v>
      </c>
      <c r="D57" t="s">
        <v>223</v>
      </c>
      <c r="E57" t="s">
        <v>224</v>
      </c>
      <c r="F57" t="s">
        <v>47</v>
      </c>
      <c r="G57">
        <v>14541</v>
      </c>
      <c r="H57" t="s">
        <v>76</v>
      </c>
      <c r="I57" s="1">
        <v>46002.28833333333</v>
      </c>
      <c r="J57" t="s">
        <v>49</v>
      </c>
      <c r="K57" s="1">
        <v>46008.789131944446</v>
      </c>
      <c r="L57" s="1">
        <v>46008.835092592592</v>
      </c>
      <c r="M57">
        <v>67</v>
      </c>
      <c r="N57" t="s">
        <v>14</v>
      </c>
      <c r="O57" t="s">
        <v>225</v>
      </c>
      <c r="P57" t="s">
        <v>216</v>
      </c>
      <c r="Q57">
        <v>75</v>
      </c>
      <c r="R57" t="s">
        <v>52</v>
      </c>
      <c r="S57" t="s">
        <v>27</v>
      </c>
    </row>
    <row r="58" spans="1:19" x14ac:dyDescent="0.25">
      <c r="A58" t="s">
        <v>14</v>
      </c>
      <c r="B58" t="s">
        <v>226</v>
      </c>
      <c r="C58" t="s">
        <v>227</v>
      </c>
      <c r="D58" t="s">
        <v>228</v>
      </c>
      <c r="E58" t="s">
        <v>229</v>
      </c>
      <c r="F58" t="s">
        <v>47</v>
      </c>
      <c r="G58" s="2" t="s">
        <v>82</v>
      </c>
      <c r="H58" t="s">
        <v>83</v>
      </c>
      <c r="I58" s="1">
        <v>46002.313194444447</v>
      </c>
      <c r="J58" t="s">
        <v>49</v>
      </c>
      <c r="K58" s="1">
        <v>46008.499965277777</v>
      </c>
      <c r="L58" s="1">
        <v>46008.544675925928</v>
      </c>
      <c r="M58">
        <v>65</v>
      </c>
      <c r="N58" t="s">
        <v>14</v>
      </c>
      <c r="O58" t="s">
        <v>50</v>
      </c>
      <c r="P58" t="s">
        <v>59</v>
      </c>
      <c r="Q58">
        <v>50000</v>
      </c>
      <c r="R58" t="s">
        <v>113</v>
      </c>
      <c r="S58" t="s">
        <v>27</v>
      </c>
    </row>
    <row r="59" spans="1:19" x14ac:dyDescent="0.25">
      <c r="A59" t="s">
        <v>14</v>
      </c>
      <c r="B59" t="s">
        <v>230</v>
      </c>
      <c r="C59" t="s">
        <v>213</v>
      </c>
      <c r="D59" t="s">
        <v>231</v>
      </c>
      <c r="E59" t="s">
        <v>232</v>
      </c>
      <c r="F59" t="s">
        <v>47</v>
      </c>
      <c r="G59" s="2" t="s">
        <v>233</v>
      </c>
      <c r="H59" t="s">
        <v>170</v>
      </c>
      <c r="I59" s="1">
        <v>46002.368263888886</v>
      </c>
      <c r="J59" t="s">
        <v>49</v>
      </c>
      <c r="K59" s="1">
        <v>46008.795243055552</v>
      </c>
      <c r="L59" s="1">
        <v>46008.835092592592</v>
      </c>
      <c r="M59">
        <v>58</v>
      </c>
      <c r="N59" t="s">
        <v>14</v>
      </c>
      <c r="O59" t="s">
        <v>50</v>
      </c>
      <c r="P59" t="s">
        <v>71</v>
      </c>
      <c r="Q59">
        <v>15000</v>
      </c>
      <c r="R59" t="s">
        <v>113</v>
      </c>
      <c r="S59" t="s">
        <v>27</v>
      </c>
    </row>
    <row r="60" spans="1:19" x14ac:dyDescent="0.25">
      <c r="A60" t="s">
        <v>14</v>
      </c>
      <c r="B60" t="s">
        <v>234</v>
      </c>
      <c r="C60" t="s">
        <v>235</v>
      </c>
      <c r="D60" t="s">
        <v>236</v>
      </c>
      <c r="E60" t="s">
        <v>237</v>
      </c>
      <c r="F60" t="s">
        <v>47</v>
      </c>
      <c r="G60">
        <v>21211</v>
      </c>
      <c r="H60" t="s">
        <v>64</v>
      </c>
      <c r="I60" s="1">
        <v>46002.374479166669</v>
      </c>
      <c r="J60" t="s">
        <v>49</v>
      </c>
      <c r="K60" s="1">
        <v>46008.500416666669</v>
      </c>
      <c r="L60" s="1">
        <v>46008.503796296296</v>
      </c>
      <c r="M60">
        <v>5</v>
      </c>
      <c r="N60" t="s">
        <v>14</v>
      </c>
      <c r="O60" t="s">
        <v>50</v>
      </c>
      <c r="P60" t="s">
        <v>51</v>
      </c>
      <c r="Q60">
        <v>8000</v>
      </c>
      <c r="R60" t="s">
        <v>113</v>
      </c>
      <c r="S60" t="s">
        <v>27</v>
      </c>
    </row>
    <row r="61" spans="1:19" x14ac:dyDescent="0.25">
      <c r="A61" t="s">
        <v>14</v>
      </c>
      <c r="B61" t="s">
        <v>238</v>
      </c>
      <c r="C61" t="s">
        <v>239</v>
      </c>
      <c r="D61" t="s">
        <v>240</v>
      </c>
      <c r="E61" t="s">
        <v>241</v>
      </c>
      <c r="F61" t="s">
        <v>47</v>
      </c>
      <c r="G61">
        <v>14564</v>
      </c>
      <c r="H61" t="s">
        <v>76</v>
      </c>
      <c r="I61" s="1">
        <v>46002.381863425922</v>
      </c>
      <c r="J61" t="s">
        <v>49</v>
      </c>
      <c r="K61" s="1">
        <v>46008.496631944443</v>
      </c>
      <c r="L61" s="1">
        <v>46008.544699074075</v>
      </c>
      <c r="M61">
        <v>70</v>
      </c>
      <c r="N61" t="s">
        <v>14</v>
      </c>
      <c r="O61" t="s">
        <v>88</v>
      </c>
      <c r="P61" t="s">
        <v>51</v>
      </c>
      <c r="Q61">
        <v>240</v>
      </c>
      <c r="R61" t="s">
        <v>52</v>
      </c>
      <c r="S61" t="s">
        <v>27</v>
      </c>
    </row>
    <row r="62" spans="1:19" x14ac:dyDescent="0.25">
      <c r="A62" t="s">
        <v>14</v>
      </c>
      <c r="B62" t="s">
        <v>242</v>
      </c>
      <c r="C62" t="s">
        <v>243</v>
      </c>
      <c r="D62" t="s">
        <v>244</v>
      </c>
      <c r="E62" t="s">
        <v>245</v>
      </c>
      <c r="F62" t="s">
        <v>47</v>
      </c>
      <c r="G62" s="2" t="s">
        <v>246</v>
      </c>
      <c r="H62" t="s">
        <v>176</v>
      </c>
      <c r="I62" s="1">
        <v>46002.427754629629</v>
      </c>
      <c r="J62" t="s">
        <v>49</v>
      </c>
      <c r="K62" s="1">
        <v>46008.499710648146</v>
      </c>
      <c r="L62" s="1">
        <v>46008.534351851849</v>
      </c>
      <c r="M62">
        <v>50</v>
      </c>
      <c r="N62" t="s">
        <v>14</v>
      </c>
      <c r="O62" t="s">
        <v>50</v>
      </c>
      <c r="P62" t="s">
        <v>103</v>
      </c>
      <c r="Q62">
        <v>0</v>
      </c>
      <c r="R62" t="s">
        <v>52</v>
      </c>
      <c r="S62" t="s">
        <v>27</v>
      </c>
    </row>
    <row r="63" spans="1:19" x14ac:dyDescent="0.25">
      <c r="A63" t="s">
        <v>14</v>
      </c>
      <c r="B63" t="s">
        <v>247</v>
      </c>
      <c r="C63" t="s">
        <v>248</v>
      </c>
      <c r="D63" t="s">
        <v>249</v>
      </c>
      <c r="E63" t="s">
        <v>250</v>
      </c>
      <c r="F63" t="s">
        <v>47</v>
      </c>
      <c r="G63">
        <v>14850</v>
      </c>
      <c r="H63" t="s">
        <v>76</v>
      </c>
      <c r="I63" s="1">
        <v>46002.440451388888</v>
      </c>
      <c r="J63" t="s">
        <v>49</v>
      </c>
      <c r="K63" s="1">
        <v>46008.498506944445</v>
      </c>
      <c r="L63" s="1">
        <v>46008.54478009259</v>
      </c>
      <c r="M63">
        <v>67</v>
      </c>
      <c r="N63" t="s">
        <v>14</v>
      </c>
      <c r="O63" t="s">
        <v>177</v>
      </c>
      <c r="P63" t="s">
        <v>51</v>
      </c>
      <c r="Q63">
        <v>0</v>
      </c>
      <c r="R63" t="s">
        <v>52</v>
      </c>
      <c r="S63" t="s">
        <v>27</v>
      </c>
    </row>
    <row r="64" spans="1:19" x14ac:dyDescent="0.25">
      <c r="A64" t="s">
        <v>14</v>
      </c>
      <c r="B64" t="s">
        <v>251</v>
      </c>
      <c r="C64" t="s">
        <v>252</v>
      </c>
      <c r="D64" t="s">
        <v>253</v>
      </c>
      <c r="E64" t="s">
        <v>254</v>
      </c>
      <c r="F64" t="s">
        <v>47</v>
      </c>
      <c r="G64" s="2" t="s">
        <v>255</v>
      </c>
      <c r="H64" t="s">
        <v>176</v>
      </c>
      <c r="I64" s="1">
        <v>46002.456863425927</v>
      </c>
      <c r="J64" t="s">
        <v>49</v>
      </c>
      <c r="K64" s="1">
        <v>46008.530277777776</v>
      </c>
      <c r="L64" s="1">
        <v>46008.530891203707</v>
      </c>
      <c r="M64">
        <v>1</v>
      </c>
      <c r="N64" t="s">
        <v>14</v>
      </c>
      <c r="O64" t="s">
        <v>225</v>
      </c>
      <c r="P64" t="s">
        <v>71</v>
      </c>
      <c r="Q64">
        <v>1000</v>
      </c>
      <c r="R64" t="s">
        <v>52</v>
      </c>
      <c r="S64" t="s">
        <v>27</v>
      </c>
    </row>
    <row r="65" spans="1:19" x14ac:dyDescent="0.25">
      <c r="A65" t="s">
        <v>14</v>
      </c>
      <c r="B65" t="s">
        <v>251</v>
      </c>
      <c r="C65" t="s">
        <v>252</v>
      </c>
      <c r="D65" t="s">
        <v>253</v>
      </c>
      <c r="E65" t="s">
        <v>254</v>
      </c>
      <c r="K65" s="1">
        <v>46008.795624999999</v>
      </c>
      <c r="L65" s="1">
        <v>46008.825486111113</v>
      </c>
      <c r="M65">
        <v>43</v>
      </c>
      <c r="N65" t="s">
        <v>14</v>
      </c>
      <c r="S65" t="s">
        <v>27</v>
      </c>
    </row>
    <row r="66" spans="1:19" x14ac:dyDescent="0.25">
      <c r="A66" t="s">
        <v>14</v>
      </c>
      <c r="B66" t="s">
        <v>251</v>
      </c>
      <c r="C66" t="s">
        <v>252</v>
      </c>
      <c r="D66" t="s">
        <v>253</v>
      </c>
      <c r="E66" t="s">
        <v>254</v>
      </c>
      <c r="K66" s="1">
        <v>46008.82644675926</v>
      </c>
      <c r="L66" s="1">
        <v>46008.835104166668</v>
      </c>
      <c r="M66">
        <v>13</v>
      </c>
      <c r="N66" t="s">
        <v>14</v>
      </c>
      <c r="S66" t="s">
        <v>27</v>
      </c>
    </row>
    <row r="67" spans="1:19" x14ac:dyDescent="0.25">
      <c r="A67" t="s">
        <v>14</v>
      </c>
      <c r="B67" t="s">
        <v>256</v>
      </c>
      <c r="C67" t="s">
        <v>257</v>
      </c>
      <c r="D67" t="s">
        <v>258</v>
      </c>
      <c r="E67" t="s">
        <v>259</v>
      </c>
      <c r="F67" t="s">
        <v>47</v>
      </c>
      <c r="G67" s="2" t="s">
        <v>260</v>
      </c>
      <c r="H67" t="s">
        <v>142</v>
      </c>
      <c r="I67" s="1">
        <v>46002.470069444447</v>
      </c>
      <c r="J67" t="s">
        <v>49</v>
      </c>
      <c r="K67" s="1">
        <v>46008.499027777776</v>
      </c>
      <c r="L67" s="1">
        <v>46008.544456018521</v>
      </c>
      <c r="M67">
        <v>66</v>
      </c>
      <c r="N67" t="s">
        <v>14</v>
      </c>
      <c r="O67" t="s">
        <v>136</v>
      </c>
      <c r="P67" t="s">
        <v>51</v>
      </c>
      <c r="Q67">
        <v>5</v>
      </c>
      <c r="R67" t="s">
        <v>113</v>
      </c>
      <c r="S67" t="s">
        <v>27</v>
      </c>
    </row>
    <row r="68" spans="1:19" x14ac:dyDescent="0.25">
      <c r="A68" t="s">
        <v>14</v>
      </c>
      <c r="B68" t="s">
        <v>261</v>
      </c>
      <c r="C68" t="s">
        <v>262</v>
      </c>
      <c r="D68" t="s">
        <v>263</v>
      </c>
      <c r="E68" t="s">
        <v>264</v>
      </c>
      <c r="F68" t="s">
        <v>47</v>
      </c>
      <c r="G68">
        <v>13734</v>
      </c>
      <c r="H68" t="s">
        <v>76</v>
      </c>
      <c r="I68" s="1">
        <v>46002.488437499997</v>
      </c>
      <c r="J68" t="s">
        <v>49</v>
      </c>
      <c r="K68" s="1">
        <v>46008.497314814813</v>
      </c>
      <c r="L68" s="1">
        <v>46008.545092592591</v>
      </c>
      <c r="M68">
        <v>69</v>
      </c>
      <c r="N68" t="s">
        <v>14</v>
      </c>
      <c r="O68" t="s">
        <v>50</v>
      </c>
      <c r="P68" t="s">
        <v>103</v>
      </c>
      <c r="Q68">
        <v>5000</v>
      </c>
      <c r="R68" t="s">
        <v>52</v>
      </c>
      <c r="S68" t="s">
        <v>27</v>
      </c>
    </row>
    <row r="69" spans="1:19" x14ac:dyDescent="0.25">
      <c r="A69" t="s">
        <v>14</v>
      </c>
      <c r="B69" t="s">
        <v>265</v>
      </c>
      <c r="C69" t="s">
        <v>266</v>
      </c>
      <c r="D69" t="s">
        <v>267</v>
      </c>
      <c r="E69" t="s">
        <v>268</v>
      </c>
      <c r="F69" t="s">
        <v>47</v>
      </c>
      <c r="G69">
        <v>13214</v>
      </c>
      <c r="H69" t="s">
        <v>76</v>
      </c>
      <c r="I69" s="1">
        <v>46002.570532407408</v>
      </c>
      <c r="J69" t="s">
        <v>49</v>
      </c>
      <c r="K69" s="1">
        <v>46008.510011574072</v>
      </c>
      <c r="L69" s="1">
        <v>46008.541296296295</v>
      </c>
      <c r="M69">
        <v>46</v>
      </c>
      <c r="N69" t="s">
        <v>14</v>
      </c>
      <c r="O69" t="s">
        <v>156</v>
      </c>
      <c r="P69" t="s">
        <v>51</v>
      </c>
      <c r="Q69">
        <v>1000</v>
      </c>
      <c r="R69" t="s">
        <v>113</v>
      </c>
      <c r="S69" t="s">
        <v>27</v>
      </c>
    </row>
    <row r="70" spans="1:19" x14ac:dyDescent="0.25">
      <c r="A70" t="s">
        <v>14</v>
      </c>
      <c r="B70" t="s">
        <v>269</v>
      </c>
      <c r="C70" t="s">
        <v>152</v>
      </c>
      <c r="D70" t="s">
        <v>270</v>
      </c>
      <c r="E70" t="s">
        <v>271</v>
      </c>
      <c r="F70" t="s">
        <v>47</v>
      </c>
      <c r="G70" s="2" t="s">
        <v>272</v>
      </c>
      <c r="H70" t="s">
        <v>70</v>
      </c>
      <c r="I70" s="1">
        <v>46002.573055555556</v>
      </c>
      <c r="J70" t="s">
        <v>49</v>
      </c>
      <c r="K70" s="1">
        <v>46008.784710648149</v>
      </c>
      <c r="L70" s="1">
        <v>46008.835092592592</v>
      </c>
      <c r="M70">
        <v>73</v>
      </c>
      <c r="N70" t="s">
        <v>14</v>
      </c>
      <c r="O70" t="s">
        <v>50</v>
      </c>
      <c r="P70" t="s">
        <v>71</v>
      </c>
      <c r="Q70">
        <v>108</v>
      </c>
      <c r="R70" t="s">
        <v>52</v>
      </c>
      <c r="S70" t="s">
        <v>27</v>
      </c>
    </row>
    <row r="71" spans="1:19" x14ac:dyDescent="0.25">
      <c r="A71" t="s">
        <v>14</v>
      </c>
      <c r="B71" t="s">
        <v>273</v>
      </c>
      <c r="C71" t="s">
        <v>274</v>
      </c>
      <c r="D71" t="s">
        <v>275</v>
      </c>
      <c r="E71" t="s">
        <v>276</v>
      </c>
      <c r="F71" t="s">
        <v>47</v>
      </c>
      <c r="G71">
        <v>12167</v>
      </c>
      <c r="H71" t="s">
        <v>76</v>
      </c>
      <c r="I71" s="1">
        <v>46002.574293981481</v>
      </c>
      <c r="J71" t="s">
        <v>49</v>
      </c>
      <c r="K71" s="1">
        <v>46008.499293981484</v>
      </c>
      <c r="L71" s="1">
        <v>46008.544849537036</v>
      </c>
      <c r="M71">
        <v>66</v>
      </c>
      <c r="N71" t="s">
        <v>14</v>
      </c>
      <c r="O71" t="s">
        <v>88</v>
      </c>
      <c r="P71" t="s">
        <v>51</v>
      </c>
      <c r="Q71">
        <v>68</v>
      </c>
      <c r="R71" t="s">
        <v>113</v>
      </c>
      <c r="S71" t="s">
        <v>27</v>
      </c>
    </row>
    <row r="72" spans="1:19" x14ac:dyDescent="0.25">
      <c r="A72" t="s">
        <v>14</v>
      </c>
      <c r="B72" t="s">
        <v>277</v>
      </c>
      <c r="C72" t="s">
        <v>278</v>
      </c>
      <c r="D72" t="s">
        <v>279</v>
      </c>
      <c r="E72" t="s">
        <v>280</v>
      </c>
      <c r="F72" t="s">
        <v>47</v>
      </c>
      <c r="G72" s="2" t="s">
        <v>281</v>
      </c>
      <c r="H72" t="s">
        <v>83</v>
      </c>
      <c r="I72" s="1">
        <v>46002.63957175926</v>
      </c>
      <c r="J72" t="s">
        <v>49</v>
      </c>
      <c r="K72" s="1">
        <v>46008.501701388886</v>
      </c>
      <c r="L72" s="1">
        <v>46008.543923611112</v>
      </c>
      <c r="M72">
        <v>61</v>
      </c>
      <c r="N72" t="s">
        <v>14</v>
      </c>
      <c r="O72" t="s">
        <v>50</v>
      </c>
      <c r="P72" t="s">
        <v>71</v>
      </c>
      <c r="Q72">
        <v>1000</v>
      </c>
      <c r="R72" t="s">
        <v>52</v>
      </c>
      <c r="S72" t="s">
        <v>27</v>
      </c>
    </row>
    <row r="73" spans="1:19" x14ac:dyDescent="0.25">
      <c r="A73" t="s">
        <v>14</v>
      </c>
      <c r="B73" t="s">
        <v>282</v>
      </c>
      <c r="C73" t="s">
        <v>283</v>
      </c>
      <c r="D73" t="s">
        <v>284</v>
      </c>
      <c r="E73" t="s">
        <v>285</v>
      </c>
      <c r="F73" t="s">
        <v>47</v>
      </c>
      <c r="G73" s="2" t="s">
        <v>286</v>
      </c>
      <c r="H73" t="s">
        <v>83</v>
      </c>
      <c r="I73" s="1">
        <v>46002.652303240742</v>
      </c>
      <c r="J73" t="s">
        <v>49</v>
      </c>
      <c r="K73" s="1">
        <v>46008.500115740739</v>
      </c>
      <c r="L73" s="1">
        <v>46008.544722222221</v>
      </c>
      <c r="M73">
        <v>65</v>
      </c>
      <c r="N73" t="s">
        <v>14</v>
      </c>
      <c r="O73" t="s">
        <v>77</v>
      </c>
      <c r="P73" t="s">
        <v>51</v>
      </c>
      <c r="Q73">
        <v>0</v>
      </c>
      <c r="R73" t="s">
        <v>113</v>
      </c>
      <c r="S73" t="s">
        <v>27</v>
      </c>
    </row>
    <row r="74" spans="1:19" x14ac:dyDescent="0.25">
      <c r="A74" t="s">
        <v>14</v>
      </c>
      <c r="B74" t="s">
        <v>287</v>
      </c>
      <c r="C74" t="s">
        <v>288</v>
      </c>
      <c r="D74" t="s">
        <v>289</v>
      </c>
      <c r="E74" t="s">
        <v>290</v>
      </c>
      <c r="F74" t="s">
        <v>47</v>
      </c>
      <c r="G74">
        <v>13078</v>
      </c>
      <c r="H74" t="s">
        <v>76</v>
      </c>
      <c r="I74" s="1">
        <v>46002.653078703705</v>
      </c>
      <c r="J74" t="s">
        <v>49</v>
      </c>
      <c r="K74" s="1">
        <v>46008.498599537037</v>
      </c>
      <c r="L74" s="1">
        <v>46008.544699074075</v>
      </c>
      <c r="M74">
        <v>67</v>
      </c>
      <c r="N74" t="s">
        <v>14</v>
      </c>
      <c r="O74" t="s">
        <v>177</v>
      </c>
      <c r="P74" t="s">
        <v>51</v>
      </c>
      <c r="Q74">
        <v>20</v>
      </c>
      <c r="R74" t="s">
        <v>113</v>
      </c>
      <c r="S74" t="s">
        <v>27</v>
      </c>
    </row>
    <row r="75" spans="1:19" x14ac:dyDescent="0.25">
      <c r="A75" t="s">
        <v>14</v>
      </c>
      <c r="B75" t="s">
        <v>291</v>
      </c>
      <c r="C75" t="s">
        <v>292</v>
      </c>
      <c r="D75" t="s">
        <v>293</v>
      </c>
      <c r="E75" t="s">
        <v>294</v>
      </c>
      <c r="F75" t="s">
        <v>47</v>
      </c>
      <c r="G75">
        <v>12072</v>
      </c>
      <c r="H75" t="s">
        <v>76</v>
      </c>
      <c r="I75" s="1">
        <v>46002.653124999997</v>
      </c>
      <c r="J75" t="s">
        <v>49</v>
      </c>
      <c r="K75" s="1">
        <v>46008.505601851852</v>
      </c>
      <c r="L75" s="1">
        <v>46008.544756944444</v>
      </c>
      <c r="M75">
        <v>57</v>
      </c>
      <c r="N75" t="s">
        <v>14</v>
      </c>
      <c r="O75" t="s">
        <v>156</v>
      </c>
      <c r="P75" t="s">
        <v>136</v>
      </c>
      <c r="Q75">
        <v>60</v>
      </c>
      <c r="R75" t="s">
        <v>113</v>
      </c>
      <c r="S75" t="s">
        <v>27</v>
      </c>
    </row>
    <row r="76" spans="1:19" x14ac:dyDescent="0.25">
      <c r="A76" t="s">
        <v>14</v>
      </c>
      <c r="B76" t="s">
        <v>295</v>
      </c>
      <c r="C76" t="s">
        <v>296</v>
      </c>
      <c r="D76" t="s">
        <v>297</v>
      </c>
      <c r="E76" t="s">
        <v>298</v>
      </c>
      <c r="F76" t="s">
        <v>47</v>
      </c>
      <c r="G76" s="2" t="s">
        <v>299</v>
      </c>
      <c r="H76" t="s">
        <v>176</v>
      </c>
      <c r="I76" s="1">
        <v>46002.665196759262</v>
      </c>
      <c r="J76" t="s">
        <v>49</v>
      </c>
      <c r="K76" s="1">
        <v>46008.500902777778</v>
      </c>
      <c r="L76" s="1">
        <v>46008.544722222221</v>
      </c>
      <c r="M76">
        <v>64</v>
      </c>
      <c r="N76" t="s">
        <v>14</v>
      </c>
      <c r="O76" t="s">
        <v>50</v>
      </c>
      <c r="P76" t="s">
        <v>300</v>
      </c>
      <c r="Q76">
        <v>100</v>
      </c>
      <c r="R76" t="s">
        <v>113</v>
      </c>
      <c r="S76" t="s">
        <v>27</v>
      </c>
    </row>
    <row r="77" spans="1:19" x14ac:dyDescent="0.25">
      <c r="A77" t="s">
        <v>14</v>
      </c>
      <c r="B77" t="s">
        <v>301</v>
      </c>
      <c r="C77" t="s">
        <v>302</v>
      </c>
      <c r="D77" t="s">
        <v>303</v>
      </c>
      <c r="E77" t="s">
        <v>304</v>
      </c>
      <c r="F77" t="s">
        <v>47</v>
      </c>
      <c r="G77">
        <v>17815</v>
      </c>
      <c r="H77" t="s">
        <v>165</v>
      </c>
      <c r="I77" s="1">
        <v>46002.734594907408</v>
      </c>
      <c r="J77" t="s">
        <v>49</v>
      </c>
      <c r="K77" s="1">
        <v>46008.500393518516</v>
      </c>
      <c r="L77" s="1">
        <v>46008.544560185182</v>
      </c>
      <c r="M77">
        <v>64</v>
      </c>
      <c r="N77" t="s">
        <v>14</v>
      </c>
      <c r="O77" t="s">
        <v>93</v>
      </c>
      <c r="P77" t="s">
        <v>51</v>
      </c>
      <c r="Q77">
        <v>96</v>
      </c>
      <c r="R77" t="s">
        <v>52</v>
      </c>
      <c r="S77" t="s">
        <v>27</v>
      </c>
    </row>
    <row r="78" spans="1:19" x14ac:dyDescent="0.25">
      <c r="A78" t="s">
        <v>14</v>
      </c>
      <c r="B78" t="s">
        <v>305</v>
      </c>
      <c r="C78" t="s">
        <v>306</v>
      </c>
      <c r="D78" t="s">
        <v>307</v>
      </c>
      <c r="E78" t="s">
        <v>308</v>
      </c>
      <c r="F78" t="s">
        <v>47</v>
      </c>
      <c r="G78">
        <v>60615</v>
      </c>
      <c r="H78" t="s">
        <v>309</v>
      </c>
      <c r="I78" s="1">
        <v>46002.760891203703</v>
      </c>
      <c r="J78" t="s">
        <v>49</v>
      </c>
      <c r="K78" s="1">
        <v>46008.495879629627</v>
      </c>
      <c r="L78" s="1">
        <v>46008.79179398148</v>
      </c>
      <c r="M78">
        <v>427</v>
      </c>
      <c r="N78" t="s">
        <v>14</v>
      </c>
      <c r="O78" t="s">
        <v>136</v>
      </c>
      <c r="P78" t="s">
        <v>136</v>
      </c>
      <c r="Q78">
        <v>1200</v>
      </c>
      <c r="R78" t="s">
        <v>113</v>
      </c>
      <c r="S78" t="s">
        <v>27</v>
      </c>
    </row>
    <row r="79" spans="1:19" x14ac:dyDescent="0.25">
      <c r="A79" t="s">
        <v>14</v>
      </c>
      <c r="B79" t="s">
        <v>310</v>
      </c>
      <c r="C79" t="s">
        <v>79</v>
      </c>
      <c r="D79" t="s">
        <v>311</v>
      </c>
      <c r="E79" t="s">
        <v>312</v>
      </c>
      <c r="F79" t="s">
        <v>47</v>
      </c>
      <c r="G79" s="2" t="s">
        <v>313</v>
      </c>
      <c r="H79" t="s">
        <v>176</v>
      </c>
      <c r="I79" s="1">
        <v>46002.869780092595</v>
      </c>
      <c r="J79" t="s">
        <v>49</v>
      </c>
      <c r="K79" s="1">
        <v>46008.791064814817</v>
      </c>
      <c r="L79" s="1">
        <v>46008.835092592592</v>
      </c>
      <c r="M79">
        <v>64</v>
      </c>
      <c r="N79" t="s">
        <v>14</v>
      </c>
      <c r="O79" t="s">
        <v>225</v>
      </c>
      <c r="P79" t="s">
        <v>300</v>
      </c>
      <c r="Q79">
        <v>1500</v>
      </c>
      <c r="R79" t="s">
        <v>52</v>
      </c>
      <c r="S79" t="s">
        <v>27</v>
      </c>
    </row>
    <row r="80" spans="1:19" x14ac:dyDescent="0.25">
      <c r="A80" t="s">
        <v>14</v>
      </c>
      <c r="B80" t="s">
        <v>314</v>
      </c>
      <c r="C80" t="s">
        <v>315</v>
      </c>
      <c r="D80" t="s">
        <v>315</v>
      </c>
      <c r="E80" t="s">
        <v>316</v>
      </c>
      <c r="F80" t="s">
        <v>47</v>
      </c>
      <c r="G80" s="2" t="s">
        <v>317</v>
      </c>
      <c r="H80" t="s">
        <v>170</v>
      </c>
      <c r="I80" s="1">
        <v>46002.884108796294</v>
      </c>
      <c r="J80" t="s">
        <v>49</v>
      </c>
      <c r="K80" s="1">
        <v>46008.793298611112</v>
      </c>
      <c r="L80" s="1">
        <v>46008.835081018522</v>
      </c>
      <c r="M80">
        <v>61</v>
      </c>
      <c r="N80" t="s">
        <v>14</v>
      </c>
      <c r="O80" t="s">
        <v>88</v>
      </c>
      <c r="P80" t="s">
        <v>51</v>
      </c>
      <c r="Q80">
        <v>93</v>
      </c>
      <c r="R80" t="s">
        <v>113</v>
      </c>
      <c r="S80" t="s">
        <v>27</v>
      </c>
    </row>
    <row r="81" spans="1:19" x14ac:dyDescent="0.25">
      <c r="A81" t="s">
        <v>14</v>
      </c>
      <c r="B81" t="s">
        <v>318</v>
      </c>
      <c r="C81" t="s">
        <v>44</v>
      </c>
      <c r="D81" t="s">
        <v>319</v>
      </c>
      <c r="E81" t="s">
        <v>320</v>
      </c>
      <c r="F81" t="s">
        <v>47</v>
      </c>
      <c r="G81">
        <v>14886</v>
      </c>
      <c r="H81" t="s">
        <v>76</v>
      </c>
      <c r="I81" s="1">
        <v>46003.341550925928</v>
      </c>
      <c r="J81" t="s">
        <v>49</v>
      </c>
      <c r="K81" s="1">
        <v>46008.498541666668</v>
      </c>
      <c r="L81" s="1">
        <v>46008.526597222219</v>
      </c>
      <c r="M81">
        <v>41</v>
      </c>
      <c r="N81" t="s">
        <v>14</v>
      </c>
      <c r="O81" t="s">
        <v>93</v>
      </c>
      <c r="P81" t="s">
        <v>51</v>
      </c>
      <c r="Q81">
        <v>40</v>
      </c>
      <c r="R81" t="s">
        <v>113</v>
      </c>
      <c r="S81" t="s">
        <v>27</v>
      </c>
    </row>
    <row r="82" spans="1:19" x14ac:dyDescent="0.25">
      <c r="A82" t="s">
        <v>14</v>
      </c>
      <c r="B82" t="s">
        <v>318</v>
      </c>
      <c r="C82" t="s">
        <v>44</v>
      </c>
      <c r="D82" t="s">
        <v>319</v>
      </c>
      <c r="E82" t="s">
        <v>320</v>
      </c>
      <c r="K82" s="1">
        <v>46008.526597222219</v>
      </c>
      <c r="L82" s="1">
        <v>46008.544594907406</v>
      </c>
      <c r="M82">
        <v>26</v>
      </c>
      <c r="N82" t="s">
        <v>14</v>
      </c>
      <c r="S82" t="s">
        <v>27</v>
      </c>
    </row>
    <row r="83" spans="1:19" x14ac:dyDescent="0.25">
      <c r="A83" t="s">
        <v>14</v>
      </c>
      <c r="B83" t="s">
        <v>321</v>
      </c>
      <c r="C83" t="s">
        <v>90</v>
      </c>
      <c r="D83" t="s">
        <v>322</v>
      </c>
      <c r="E83" t="s">
        <v>323</v>
      </c>
      <c r="F83" t="s">
        <v>47</v>
      </c>
      <c r="G83">
        <v>54451</v>
      </c>
      <c r="H83" t="s">
        <v>324</v>
      </c>
      <c r="I83" s="1">
        <v>46003.375219907408</v>
      </c>
      <c r="J83" t="s">
        <v>49</v>
      </c>
      <c r="K83" s="1">
        <v>46008.497673611113</v>
      </c>
      <c r="L83" s="1">
        <v>46008.54415509259</v>
      </c>
      <c r="M83">
        <v>67</v>
      </c>
      <c r="N83" t="s">
        <v>14</v>
      </c>
      <c r="O83" t="s">
        <v>50</v>
      </c>
      <c r="P83" t="s">
        <v>51</v>
      </c>
      <c r="Q83">
        <v>10000</v>
      </c>
      <c r="R83" t="s">
        <v>52</v>
      </c>
      <c r="S83" t="s">
        <v>27</v>
      </c>
    </row>
    <row r="84" spans="1:19" x14ac:dyDescent="0.25">
      <c r="A84" t="s">
        <v>14</v>
      </c>
      <c r="B84" t="s">
        <v>325</v>
      </c>
      <c r="C84" t="s">
        <v>326</v>
      </c>
      <c r="D84" t="s">
        <v>327</v>
      </c>
      <c r="E84" t="s">
        <v>328</v>
      </c>
      <c r="F84" t="s">
        <v>47</v>
      </c>
      <c r="G84">
        <v>13601</v>
      </c>
      <c r="H84" t="s">
        <v>76</v>
      </c>
      <c r="I84" s="1">
        <v>46003.381018518521</v>
      </c>
      <c r="J84" t="s">
        <v>49</v>
      </c>
      <c r="K84" s="1">
        <v>46008.501527777778</v>
      </c>
      <c r="L84" s="1">
        <v>46008.531701388885</v>
      </c>
      <c r="M84">
        <v>44</v>
      </c>
      <c r="N84" t="s">
        <v>26</v>
      </c>
      <c r="O84" t="s">
        <v>99</v>
      </c>
      <c r="P84" t="s">
        <v>51</v>
      </c>
      <c r="Q84">
        <v>0</v>
      </c>
      <c r="R84" t="s">
        <v>52</v>
      </c>
      <c r="S84" t="s">
        <v>27</v>
      </c>
    </row>
    <row r="85" spans="1:19" x14ac:dyDescent="0.25">
      <c r="A85" t="s">
        <v>14</v>
      </c>
      <c r="B85" t="s">
        <v>329</v>
      </c>
      <c r="C85" t="s">
        <v>330</v>
      </c>
      <c r="D85" t="s">
        <v>331</v>
      </c>
      <c r="E85" t="s">
        <v>332</v>
      </c>
      <c r="F85" t="s">
        <v>47</v>
      </c>
      <c r="G85">
        <v>14867</v>
      </c>
      <c r="H85" t="s">
        <v>76</v>
      </c>
      <c r="I85" s="1">
        <v>46003.402696759258</v>
      </c>
      <c r="J85" t="s">
        <v>49</v>
      </c>
      <c r="K85" s="1">
        <v>46008.501226851855</v>
      </c>
      <c r="L85" s="1">
        <v>46008.55028935185</v>
      </c>
      <c r="M85">
        <v>71</v>
      </c>
      <c r="N85" t="s">
        <v>14</v>
      </c>
      <c r="O85" t="s">
        <v>88</v>
      </c>
      <c r="P85" t="s">
        <v>51</v>
      </c>
      <c r="Q85">
        <v>5</v>
      </c>
      <c r="R85" t="s">
        <v>113</v>
      </c>
      <c r="S85" t="s">
        <v>27</v>
      </c>
    </row>
    <row r="86" spans="1:19" x14ac:dyDescent="0.25">
      <c r="A86" t="s">
        <v>14</v>
      </c>
      <c r="B86" t="s">
        <v>333</v>
      </c>
      <c r="C86" t="s">
        <v>334</v>
      </c>
      <c r="D86" t="s">
        <v>335</v>
      </c>
      <c r="E86" t="s">
        <v>336</v>
      </c>
      <c r="F86" t="s">
        <v>47</v>
      </c>
      <c r="G86">
        <v>14850</v>
      </c>
      <c r="H86" t="s">
        <v>76</v>
      </c>
      <c r="I86" s="1">
        <v>46003.431041666663</v>
      </c>
      <c r="J86" t="s">
        <v>49</v>
      </c>
      <c r="K86" s="1">
        <v>46008.499050925922</v>
      </c>
      <c r="L86" s="1">
        <v>46008.534108796295</v>
      </c>
      <c r="M86">
        <v>51</v>
      </c>
      <c r="N86" t="s">
        <v>14</v>
      </c>
      <c r="O86" t="s">
        <v>99</v>
      </c>
      <c r="P86" t="s">
        <v>51</v>
      </c>
      <c r="Q86">
        <v>10</v>
      </c>
      <c r="R86" t="s">
        <v>113</v>
      </c>
      <c r="S86" t="s">
        <v>27</v>
      </c>
    </row>
    <row r="87" spans="1:19" x14ac:dyDescent="0.25">
      <c r="A87" t="s">
        <v>14</v>
      </c>
      <c r="B87" t="s">
        <v>337</v>
      </c>
      <c r="C87" t="s">
        <v>338</v>
      </c>
      <c r="D87" t="s">
        <v>339</v>
      </c>
      <c r="E87" t="s">
        <v>340</v>
      </c>
      <c r="F87" t="s">
        <v>47</v>
      </c>
      <c r="G87">
        <v>61821</v>
      </c>
      <c r="H87" t="s">
        <v>309</v>
      </c>
      <c r="I87" s="1">
        <v>46003.516469907408</v>
      </c>
      <c r="J87" t="s">
        <v>49</v>
      </c>
      <c r="K87" s="1">
        <v>46008.510682870372</v>
      </c>
      <c r="L87" s="1">
        <v>46008.544699074075</v>
      </c>
      <c r="M87">
        <v>49</v>
      </c>
      <c r="N87" t="s">
        <v>14</v>
      </c>
      <c r="O87" t="s">
        <v>156</v>
      </c>
      <c r="P87" t="s">
        <v>51</v>
      </c>
      <c r="Q87">
        <v>30</v>
      </c>
      <c r="R87" t="s">
        <v>52</v>
      </c>
      <c r="S87" t="s">
        <v>27</v>
      </c>
    </row>
    <row r="88" spans="1:19" x14ac:dyDescent="0.25">
      <c r="A88" t="s">
        <v>14</v>
      </c>
      <c r="B88" t="s">
        <v>341</v>
      </c>
      <c r="C88" t="s">
        <v>342</v>
      </c>
      <c r="D88" t="s">
        <v>343</v>
      </c>
      <c r="E88" t="s">
        <v>344</v>
      </c>
      <c r="F88" t="s">
        <v>47</v>
      </c>
      <c r="G88">
        <v>19341</v>
      </c>
      <c r="H88" t="s">
        <v>165</v>
      </c>
      <c r="I88" s="1">
        <v>46003.609351851854</v>
      </c>
      <c r="J88" t="s">
        <v>49</v>
      </c>
      <c r="K88" s="1">
        <v>46008.496828703705</v>
      </c>
      <c r="L88" s="1">
        <v>46008.544710648152</v>
      </c>
      <c r="M88">
        <v>69</v>
      </c>
      <c r="N88" t="s">
        <v>14</v>
      </c>
      <c r="O88" t="s">
        <v>156</v>
      </c>
      <c r="P88" t="s">
        <v>136</v>
      </c>
      <c r="Q88">
        <v>220</v>
      </c>
      <c r="R88" t="s">
        <v>52</v>
      </c>
      <c r="S88" t="s">
        <v>27</v>
      </c>
    </row>
    <row r="89" spans="1:19" x14ac:dyDescent="0.25">
      <c r="A89" t="s">
        <v>14</v>
      </c>
      <c r="B89" t="s">
        <v>341</v>
      </c>
      <c r="C89" t="s">
        <v>342</v>
      </c>
      <c r="D89" t="s">
        <v>343</v>
      </c>
      <c r="E89" t="s">
        <v>344</v>
      </c>
      <c r="K89" s="1">
        <v>46008.756956018522</v>
      </c>
      <c r="L89" s="1">
        <v>46008.7812037037</v>
      </c>
      <c r="M89">
        <v>35</v>
      </c>
      <c r="N89" t="s">
        <v>14</v>
      </c>
      <c r="S89" t="s">
        <v>27</v>
      </c>
    </row>
    <row r="90" spans="1:19" x14ac:dyDescent="0.25">
      <c r="A90" t="s">
        <v>14</v>
      </c>
      <c r="B90" t="s">
        <v>341</v>
      </c>
      <c r="C90" t="s">
        <v>342</v>
      </c>
      <c r="D90" t="s">
        <v>343</v>
      </c>
      <c r="E90" t="s">
        <v>344</v>
      </c>
      <c r="K90" s="1">
        <v>46008.786793981482</v>
      </c>
      <c r="L90" s="1">
        <v>46008.835092592592</v>
      </c>
      <c r="M90">
        <v>70</v>
      </c>
      <c r="N90" t="s">
        <v>14</v>
      </c>
      <c r="S90" t="s">
        <v>27</v>
      </c>
    </row>
    <row r="91" spans="1:19" x14ac:dyDescent="0.25">
      <c r="A91" t="s">
        <v>14</v>
      </c>
      <c r="B91" t="s">
        <v>345</v>
      </c>
      <c r="C91" t="s">
        <v>218</v>
      </c>
      <c r="D91" t="s">
        <v>346</v>
      </c>
      <c r="E91" t="s">
        <v>347</v>
      </c>
      <c r="F91" t="s">
        <v>47</v>
      </c>
      <c r="G91">
        <v>56081</v>
      </c>
      <c r="H91" t="s">
        <v>348</v>
      </c>
      <c r="I91" s="1">
        <v>46006.397858796299</v>
      </c>
      <c r="J91" t="s">
        <v>49</v>
      </c>
      <c r="K91" s="1">
        <v>46008.503159722219</v>
      </c>
      <c r="L91" s="1">
        <v>46008.544664351852</v>
      </c>
      <c r="M91">
        <v>60</v>
      </c>
      <c r="N91" t="s">
        <v>14</v>
      </c>
      <c r="O91" t="s">
        <v>77</v>
      </c>
      <c r="P91" t="s">
        <v>51</v>
      </c>
      <c r="Q91">
        <v>10</v>
      </c>
      <c r="R91" t="s">
        <v>52</v>
      </c>
      <c r="S91" t="s">
        <v>27</v>
      </c>
    </row>
    <row r="92" spans="1:19" x14ac:dyDescent="0.25">
      <c r="A92" t="s">
        <v>14</v>
      </c>
      <c r="B92" t="s">
        <v>349</v>
      </c>
      <c r="C92" t="s">
        <v>350</v>
      </c>
      <c r="D92" t="s">
        <v>351</v>
      </c>
      <c r="E92" t="s">
        <v>352</v>
      </c>
      <c r="F92" t="s">
        <v>47</v>
      </c>
      <c r="G92">
        <v>17257</v>
      </c>
      <c r="H92" t="s">
        <v>165</v>
      </c>
      <c r="I92" s="1">
        <v>46006.410624999997</v>
      </c>
      <c r="J92" t="s">
        <v>49</v>
      </c>
      <c r="K92" s="1">
        <v>46008.500543981485</v>
      </c>
      <c r="L92" s="1">
        <v>46008.527175925927</v>
      </c>
      <c r="M92">
        <v>39</v>
      </c>
      <c r="N92" t="s">
        <v>14</v>
      </c>
      <c r="O92" t="s">
        <v>93</v>
      </c>
      <c r="P92" t="s">
        <v>51</v>
      </c>
      <c r="Q92">
        <v>13</v>
      </c>
      <c r="R92" t="s">
        <v>52</v>
      </c>
      <c r="S92" t="s">
        <v>27</v>
      </c>
    </row>
    <row r="93" spans="1:19" x14ac:dyDescent="0.25">
      <c r="A93" t="s">
        <v>14</v>
      </c>
      <c r="B93" t="s">
        <v>353</v>
      </c>
      <c r="C93" t="s">
        <v>213</v>
      </c>
      <c r="D93" t="s">
        <v>354</v>
      </c>
      <c r="E93" t="s">
        <v>355</v>
      </c>
      <c r="F93" t="s">
        <v>47</v>
      </c>
      <c r="G93">
        <v>54001</v>
      </c>
      <c r="H93" t="s">
        <v>324</v>
      </c>
      <c r="I93" s="1">
        <v>46006.41909722222</v>
      </c>
      <c r="J93" t="s">
        <v>49</v>
      </c>
      <c r="K93" s="1">
        <v>46008.505115740743</v>
      </c>
      <c r="L93" s="1">
        <v>46008.528402777774</v>
      </c>
      <c r="M93">
        <v>34</v>
      </c>
      <c r="N93" t="s">
        <v>14</v>
      </c>
      <c r="O93" t="s">
        <v>93</v>
      </c>
      <c r="P93" t="s">
        <v>51</v>
      </c>
      <c r="Q93">
        <v>130</v>
      </c>
      <c r="R93" t="s">
        <v>113</v>
      </c>
      <c r="S93" t="s">
        <v>27</v>
      </c>
    </row>
    <row r="94" spans="1:19" x14ac:dyDescent="0.25">
      <c r="A94" t="s">
        <v>14</v>
      </c>
      <c r="B94" t="s">
        <v>356</v>
      </c>
      <c r="C94" t="s">
        <v>357</v>
      </c>
      <c r="D94" t="s">
        <v>358</v>
      </c>
      <c r="E94" t="s">
        <v>359</v>
      </c>
      <c r="F94" t="s">
        <v>47</v>
      </c>
      <c r="G94">
        <v>53506</v>
      </c>
      <c r="H94" t="s">
        <v>324</v>
      </c>
      <c r="I94" s="1">
        <v>46006.421018518522</v>
      </c>
      <c r="J94" t="s">
        <v>49</v>
      </c>
      <c r="K94" s="1">
        <v>46008.506990740738</v>
      </c>
      <c r="L94" s="1">
        <v>46008.835092592592</v>
      </c>
      <c r="M94">
        <v>473</v>
      </c>
      <c r="N94" t="s">
        <v>14</v>
      </c>
      <c r="O94" t="s">
        <v>93</v>
      </c>
      <c r="P94" t="s">
        <v>51</v>
      </c>
      <c r="Q94">
        <v>21</v>
      </c>
      <c r="R94" t="s">
        <v>52</v>
      </c>
      <c r="S94" t="s">
        <v>27</v>
      </c>
    </row>
    <row r="95" spans="1:19" x14ac:dyDescent="0.25">
      <c r="A95" t="s">
        <v>14</v>
      </c>
      <c r="B95" t="s">
        <v>360</v>
      </c>
      <c r="C95" t="s">
        <v>361</v>
      </c>
      <c r="D95" t="s">
        <v>362</v>
      </c>
      <c r="E95" t="s">
        <v>363</v>
      </c>
      <c r="F95" t="s">
        <v>147</v>
      </c>
      <c r="G95" t="s">
        <v>364</v>
      </c>
      <c r="H95" t="s">
        <v>365</v>
      </c>
      <c r="I95" s="1">
        <v>46006.426226851851</v>
      </c>
      <c r="J95" t="s">
        <v>49</v>
      </c>
      <c r="K95" s="1">
        <v>46008.512592592589</v>
      </c>
      <c r="L95" s="1">
        <v>46008.539259259262</v>
      </c>
      <c r="M95">
        <v>39</v>
      </c>
      <c r="N95" t="s">
        <v>14</v>
      </c>
      <c r="O95" t="s">
        <v>77</v>
      </c>
      <c r="P95" t="s">
        <v>51</v>
      </c>
      <c r="Q95">
        <v>0</v>
      </c>
      <c r="R95" t="s">
        <v>113</v>
      </c>
      <c r="S95" t="s">
        <v>150</v>
      </c>
    </row>
    <row r="96" spans="1:19" x14ac:dyDescent="0.25">
      <c r="A96" t="s">
        <v>14</v>
      </c>
      <c r="B96" t="s">
        <v>366</v>
      </c>
      <c r="C96" t="s">
        <v>367</v>
      </c>
      <c r="D96" t="s">
        <v>368</v>
      </c>
      <c r="E96" t="s">
        <v>369</v>
      </c>
      <c r="F96" t="s">
        <v>47</v>
      </c>
      <c r="G96">
        <v>14861</v>
      </c>
      <c r="H96" t="s">
        <v>76</v>
      </c>
      <c r="I96" s="1">
        <v>46006.435208333336</v>
      </c>
      <c r="J96" t="s">
        <v>49</v>
      </c>
      <c r="K96" s="1">
        <v>46008.516064814816</v>
      </c>
      <c r="L96" s="1">
        <v>46008.531504629631</v>
      </c>
      <c r="M96">
        <v>23</v>
      </c>
      <c r="N96" t="s">
        <v>14</v>
      </c>
      <c r="O96" t="s">
        <v>88</v>
      </c>
      <c r="P96" t="s">
        <v>51</v>
      </c>
      <c r="Q96">
        <v>43</v>
      </c>
      <c r="R96" t="s">
        <v>52</v>
      </c>
      <c r="S96" t="s">
        <v>27</v>
      </c>
    </row>
    <row r="97" spans="1:19" x14ac:dyDescent="0.25">
      <c r="A97" t="s">
        <v>14</v>
      </c>
      <c r="B97" t="s">
        <v>370</v>
      </c>
      <c r="C97" t="s">
        <v>105</v>
      </c>
      <c r="D97" t="s">
        <v>371</v>
      </c>
      <c r="E97" t="s">
        <v>372</v>
      </c>
      <c r="F97" t="s">
        <v>47</v>
      </c>
      <c r="G97">
        <v>55044</v>
      </c>
      <c r="H97" t="s">
        <v>348</v>
      </c>
      <c r="I97" s="1">
        <v>46006.449525462966</v>
      </c>
      <c r="J97" t="s">
        <v>49</v>
      </c>
      <c r="K97" s="1">
        <v>46008.49894675926</v>
      </c>
      <c r="L97" s="1">
        <v>46008.544722222221</v>
      </c>
      <c r="M97">
        <v>66</v>
      </c>
      <c r="N97" t="s">
        <v>14</v>
      </c>
      <c r="O97" t="s">
        <v>50</v>
      </c>
      <c r="P97" t="s">
        <v>51</v>
      </c>
      <c r="Q97">
        <v>10</v>
      </c>
      <c r="R97" t="s">
        <v>113</v>
      </c>
      <c r="S97" t="s">
        <v>27</v>
      </c>
    </row>
    <row r="98" spans="1:19" x14ac:dyDescent="0.25">
      <c r="A98" t="s">
        <v>14</v>
      </c>
      <c r="B98" t="s">
        <v>373</v>
      </c>
      <c r="C98" t="s">
        <v>374</v>
      </c>
      <c r="D98" t="s">
        <v>375</v>
      </c>
      <c r="E98" t="s">
        <v>376</v>
      </c>
      <c r="F98" t="s">
        <v>47</v>
      </c>
      <c r="G98" s="2" t="s">
        <v>377</v>
      </c>
      <c r="H98" t="s">
        <v>70</v>
      </c>
      <c r="I98" s="1">
        <v>46006.467893518522</v>
      </c>
      <c r="J98" t="s">
        <v>49</v>
      </c>
      <c r="K98" s="1">
        <v>46008.500567129631</v>
      </c>
      <c r="L98" s="1">
        <v>46008.558009259257</v>
      </c>
      <c r="M98">
        <v>83</v>
      </c>
      <c r="N98" t="s">
        <v>14</v>
      </c>
      <c r="O98" t="s">
        <v>93</v>
      </c>
      <c r="P98" t="s">
        <v>51</v>
      </c>
      <c r="Q98">
        <v>20</v>
      </c>
      <c r="R98" t="s">
        <v>113</v>
      </c>
      <c r="S98" t="s">
        <v>27</v>
      </c>
    </row>
    <row r="99" spans="1:19" x14ac:dyDescent="0.25">
      <c r="A99" t="s">
        <v>14</v>
      </c>
      <c r="B99" t="s">
        <v>378</v>
      </c>
      <c r="C99" t="s">
        <v>342</v>
      </c>
      <c r="D99" t="s">
        <v>379</v>
      </c>
      <c r="E99" t="s">
        <v>380</v>
      </c>
      <c r="F99" t="s">
        <v>47</v>
      </c>
      <c r="G99">
        <v>13424</v>
      </c>
      <c r="H99" t="s">
        <v>76</v>
      </c>
      <c r="I99" s="1">
        <v>46006.479259259257</v>
      </c>
      <c r="J99" t="s">
        <v>49</v>
      </c>
      <c r="K99" s="1">
        <v>46008.501712962963</v>
      </c>
      <c r="L99" s="1">
        <v>46008.540335648147</v>
      </c>
      <c r="M99">
        <v>56</v>
      </c>
      <c r="N99" t="s">
        <v>26</v>
      </c>
      <c r="O99" t="s">
        <v>99</v>
      </c>
      <c r="P99" t="s">
        <v>51</v>
      </c>
      <c r="Q99">
        <v>0</v>
      </c>
      <c r="R99" t="s">
        <v>113</v>
      </c>
      <c r="S99" t="s">
        <v>27</v>
      </c>
    </row>
    <row r="100" spans="1:19" x14ac:dyDescent="0.25">
      <c r="A100" t="s">
        <v>14</v>
      </c>
      <c r="B100" t="s">
        <v>381</v>
      </c>
      <c r="C100" t="s">
        <v>382</v>
      </c>
      <c r="D100" t="s">
        <v>383</v>
      </c>
      <c r="E100" t="s">
        <v>384</v>
      </c>
      <c r="F100" t="s">
        <v>147</v>
      </c>
      <c r="G100" t="s">
        <v>385</v>
      </c>
      <c r="H100" t="s">
        <v>365</v>
      </c>
      <c r="I100" s="1">
        <v>46006.484884259262</v>
      </c>
      <c r="J100" t="s">
        <v>49</v>
      </c>
      <c r="K100" s="1">
        <v>46008.496550925927</v>
      </c>
      <c r="L100" s="1">
        <v>46008.544641203705</v>
      </c>
      <c r="M100">
        <v>70</v>
      </c>
      <c r="N100" t="s">
        <v>14</v>
      </c>
      <c r="O100" t="s">
        <v>77</v>
      </c>
      <c r="P100" t="s">
        <v>51</v>
      </c>
      <c r="Q100">
        <v>250</v>
      </c>
      <c r="R100" t="s">
        <v>113</v>
      </c>
      <c r="S100" t="s">
        <v>150</v>
      </c>
    </row>
    <row r="101" spans="1:19" x14ac:dyDescent="0.25">
      <c r="A101" t="s">
        <v>14</v>
      </c>
      <c r="B101" t="s">
        <v>386</v>
      </c>
      <c r="C101" t="s">
        <v>387</v>
      </c>
      <c r="D101" t="s">
        <v>388</v>
      </c>
      <c r="E101" t="s">
        <v>389</v>
      </c>
      <c r="F101" t="s">
        <v>47</v>
      </c>
      <c r="G101">
        <v>55812</v>
      </c>
      <c r="H101" t="s">
        <v>348</v>
      </c>
      <c r="I101" s="1">
        <v>46006.493125000001</v>
      </c>
      <c r="J101" t="s">
        <v>49</v>
      </c>
      <c r="K101" s="1">
        <v>46008.538842592592</v>
      </c>
      <c r="L101" s="1">
        <v>46008.542430555557</v>
      </c>
      <c r="M101">
        <v>6</v>
      </c>
      <c r="N101" t="s">
        <v>14</v>
      </c>
      <c r="O101" t="s">
        <v>156</v>
      </c>
      <c r="P101" t="s">
        <v>216</v>
      </c>
      <c r="Q101">
        <v>153</v>
      </c>
      <c r="R101" t="s">
        <v>113</v>
      </c>
      <c r="S101" t="s">
        <v>27</v>
      </c>
    </row>
    <row r="102" spans="1:19" x14ac:dyDescent="0.25">
      <c r="A102" t="s">
        <v>14</v>
      </c>
      <c r="B102" t="s">
        <v>390</v>
      </c>
      <c r="C102" t="s">
        <v>391</v>
      </c>
      <c r="D102" t="s">
        <v>392</v>
      </c>
      <c r="E102" t="s">
        <v>393</v>
      </c>
      <c r="F102" t="s">
        <v>47</v>
      </c>
      <c r="G102" s="2" t="s">
        <v>394</v>
      </c>
      <c r="H102" t="s">
        <v>76</v>
      </c>
      <c r="I102" s="1">
        <v>46006.49322916667</v>
      </c>
      <c r="J102" t="s">
        <v>49</v>
      </c>
      <c r="K102" s="1">
        <v>46008.499768518515</v>
      </c>
      <c r="L102" s="1">
        <v>46008.544803240744</v>
      </c>
      <c r="M102">
        <v>65</v>
      </c>
      <c r="N102" t="s">
        <v>14</v>
      </c>
      <c r="O102" t="s">
        <v>77</v>
      </c>
      <c r="P102" t="s">
        <v>51</v>
      </c>
      <c r="Q102">
        <v>100</v>
      </c>
      <c r="R102" t="s">
        <v>113</v>
      </c>
      <c r="S102" t="s">
        <v>27</v>
      </c>
    </row>
    <row r="103" spans="1:19" x14ac:dyDescent="0.25">
      <c r="A103" t="s">
        <v>14</v>
      </c>
      <c r="B103" t="s">
        <v>395</v>
      </c>
      <c r="C103" t="s">
        <v>288</v>
      </c>
      <c r="D103" t="s">
        <v>396</v>
      </c>
      <c r="E103" t="s">
        <v>397</v>
      </c>
      <c r="F103" t="s">
        <v>47</v>
      </c>
      <c r="G103">
        <v>55418</v>
      </c>
      <c r="H103" t="s">
        <v>348</v>
      </c>
      <c r="I103" s="1">
        <v>46006.500740740739</v>
      </c>
      <c r="J103" t="s">
        <v>49</v>
      </c>
      <c r="K103" s="1">
        <v>46008.496886574074</v>
      </c>
      <c r="L103" s="1">
        <v>46008.544699074075</v>
      </c>
      <c r="M103">
        <v>69</v>
      </c>
      <c r="N103" t="s">
        <v>14</v>
      </c>
      <c r="O103" t="s">
        <v>177</v>
      </c>
      <c r="P103" t="s">
        <v>136</v>
      </c>
      <c r="Q103">
        <v>0</v>
      </c>
      <c r="R103" t="s">
        <v>113</v>
      </c>
      <c r="S103" t="s">
        <v>27</v>
      </c>
    </row>
    <row r="104" spans="1:19" x14ac:dyDescent="0.25">
      <c r="A104" t="s">
        <v>14</v>
      </c>
      <c r="B104" t="s">
        <v>398</v>
      </c>
      <c r="C104" t="s">
        <v>399</v>
      </c>
      <c r="D104" t="s">
        <v>400</v>
      </c>
      <c r="E104" t="s">
        <v>401</v>
      </c>
      <c r="F104" t="s">
        <v>47</v>
      </c>
      <c r="G104">
        <v>14111</v>
      </c>
      <c r="H104" t="s">
        <v>76</v>
      </c>
      <c r="I104" s="1">
        <v>46006.511064814818</v>
      </c>
      <c r="J104" t="s">
        <v>49</v>
      </c>
      <c r="K104" s="1">
        <v>46008.503796296296</v>
      </c>
      <c r="L104" s="1">
        <v>46008.544861111113</v>
      </c>
      <c r="M104">
        <v>60</v>
      </c>
      <c r="N104" t="s">
        <v>14</v>
      </c>
      <c r="O104" t="s">
        <v>93</v>
      </c>
      <c r="P104" t="s">
        <v>136</v>
      </c>
      <c r="Q104">
        <v>25</v>
      </c>
      <c r="R104" t="s">
        <v>113</v>
      </c>
      <c r="S104" t="s">
        <v>27</v>
      </c>
    </row>
    <row r="105" spans="1:19" x14ac:dyDescent="0.25">
      <c r="A105" t="s">
        <v>14</v>
      </c>
      <c r="B105" t="s">
        <v>402</v>
      </c>
      <c r="C105" t="s">
        <v>403</v>
      </c>
      <c r="D105" t="s">
        <v>404</v>
      </c>
      <c r="E105" t="s">
        <v>405</v>
      </c>
      <c r="F105" t="s">
        <v>147</v>
      </c>
      <c r="G105" t="s">
        <v>406</v>
      </c>
      <c r="H105" t="s">
        <v>407</v>
      </c>
      <c r="I105" s="1">
        <v>46006.583738425928</v>
      </c>
      <c r="J105" t="s">
        <v>49</v>
      </c>
      <c r="K105" s="1">
        <v>46008.50340277778</v>
      </c>
      <c r="L105" s="1">
        <v>46008.539398148147</v>
      </c>
      <c r="M105">
        <v>52</v>
      </c>
      <c r="N105" t="s">
        <v>14</v>
      </c>
      <c r="O105" t="s">
        <v>93</v>
      </c>
      <c r="P105" t="s">
        <v>51</v>
      </c>
      <c r="Q105">
        <v>36</v>
      </c>
      <c r="R105" t="s">
        <v>113</v>
      </c>
      <c r="S105" t="s">
        <v>150</v>
      </c>
    </row>
    <row r="106" spans="1:19" x14ac:dyDescent="0.25">
      <c r="A106" t="s">
        <v>14</v>
      </c>
      <c r="B106" t="s">
        <v>408</v>
      </c>
      <c r="C106" t="s">
        <v>409</v>
      </c>
      <c r="D106" t="s">
        <v>410</v>
      </c>
      <c r="E106" t="s">
        <v>411</v>
      </c>
      <c r="F106" t="s">
        <v>47</v>
      </c>
      <c r="G106" s="2" t="s">
        <v>412</v>
      </c>
      <c r="H106" t="s">
        <v>70</v>
      </c>
      <c r="I106" s="1">
        <v>46007.409201388888</v>
      </c>
      <c r="J106" t="s">
        <v>49</v>
      </c>
      <c r="K106" s="1">
        <v>46008.782488425924</v>
      </c>
      <c r="L106" s="1">
        <v>46008.835092592592</v>
      </c>
      <c r="M106">
        <v>76</v>
      </c>
      <c r="N106" t="s">
        <v>14</v>
      </c>
      <c r="O106" t="s">
        <v>50</v>
      </c>
      <c r="P106" t="s">
        <v>71</v>
      </c>
      <c r="Q106">
        <v>300</v>
      </c>
      <c r="R106" t="s">
        <v>52</v>
      </c>
      <c r="S106" t="s">
        <v>27</v>
      </c>
    </row>
    <row r="107" spans="1:19" x14ac:dyDescent="0.25">
      <c r="A107" t="s">
        <v>14</v>
      </c>
      <c r="B107" t="s">
        <v>413</v>
      </c>
      <c r="C107" t="s">
        <v>61</v>
      </c>
      <c r="D107" t="s">
        <v>414</v>
      </c>
      <c r="E107" t="s">
        <v>415</v>
      </c>
      <c r="F107" t="s">
        <v>47</v>
      </c>
      <c r="G107">
        <v>62828</v>
      </c>
      <c r="H107" t="s">
        <v>309</v>
      </c>
      <c r="I107" s="1">
        <v>46007.419224537036</v>
      </c>
      <c r="J107" t="s">
        <v>49</v>
      </c>
      <c r="K107" s="1">
        <v>46008.496053240742</v>
      </c>
      <c r="L107" s="1">
        <v>46008.53837962963</v>
      </c>
      <c r="M107">
        <v>61</v>
      </c>
      <c r="N107" t="s">
        <v>14</v>
      </c>
      <c r="O107" t="s">
        <v>50</v>
      </c>
      <c r="P107" t="s">
        <v>103</v>
      </c>
      <c r="Q107">
        <v>400</v>
      </c>
      <c r="R107" t="s">
        <v>52</v>
      </c>
      <c r="S107" t="s">
        <v>27</v>
      </c>
    </row>
    <row r="108" spans="1:19" x14ac:dyDescent="0.25">
      <c r="A108" t="s">
        <v>14</v>
      </c>
      <c r="B108" t="s">
        <v>416</v>
      </c>
      <c r="C108" t="s">
        <v>417</v>
      </c>
      <c r="D108" t="s">
        <v>418</v>
      </c>
      <c r="E108" t="s">
        <v>419</v>
      </c>
      <c r="F108" t="s">
        <v>47</v>
      </c>
      <c r="G108" s="2" t="s">
        <v>420</v>
      </c>
      <c r="H108" t="s">
        <v>176</v>
      </c>
      <c r="I108" s="1">
        <v>46007.431250000001</v>
      </c>
      <c r="J108" t="s">
        <v>49</v>
      </c>
      <c r="K108" s="1">
        <v>46008.501018518517</v>
      </c>
      <c r="L108" s="1">
        <v>46008.544756944444</v>
      </c>
      <c r="M108">
        <v>63</v>
      </c>
      <c r="N108" t="s">
        <v>14</v>
      </c>
      <c r="O108" t="s">
        <v>225</v>
      </c>
      <c r="P108" t="s">
        <v>300</v>
      </c>
      <c r="Q108">
        <v>0</v>
      </c>
      <c r="R108" t="s">
        <v>52</v>
      </c>
      <c r="S108" t="s">
        <v>27</v>
      </c>
    </row>
    <row r="109" spans="1:19" x14ac:dyDescent="0.25">
      <c r="A109" t="s">
        <v>14</v>
      </c>
      <c r="B109" t="s">
        <v>421</v>
      </c>
      <c r="C109" t="s">
        <v>422</v>
      </c>
      <c r="D109" t="s">
        <v>423</v>
      </c>
      <c r="E109" t="s">
        <v>424</v>
      </c>
      <c r="F109" t="s">
        <v>47</v>
      </c>
      <c r="G109">
        <v>14454</v>
      </c>
      <c r="H109" t="s">
        <v>76</v>
      </c>
      <c r="I109" s="1">
        <v>46007.451805555553</v>
      </c>
      <c r="J109" t="s">
        <v>49</v>
      </c>
      <c r="K109" s="1">
        <v>46008.498773148145</v>
      </c>
      <c r="L109" s="1">
        <v>46008.544791666667</v>
      </c>
      <c r="M109">
        <v>67</v>
      </c>
      <c r="N109" t="s">
        <v>14</v>
      </c>
      <c r="O109" t="s">
        <v>177</v>
      </c>
      <c r="P109" t="s">
        <v>51</v>
      </c>
      <c r="Q109" t="s">
        <v>425</v>
      </c>
      <c r="R109" t="s">
        <v>52</v>
      </c>
      <c r="S109" t="s">
        <v>27</v>
      </c>
    </row>
    <row r="110" spans="1:19" x14ac:dyDescent="0.25">
      <c r="A110" t="s">
        <v>14</v>
      </c>
      <c r="B110" t="s">
        <v>426</v>
      </c>
      <c r="C110" t="s">
        <v>44</v>
      </c>
      <c r="D110" t="s">
        <v>427</v>
      </c>
      <c r="E110" t="s">
        <v>428</v>
      </c>
      <c r="F110" t="s">
        <v>47</v>
      </c>
      <c r="G110" s="2" t="s">
        <v>429</v>
      </c>
      <c r="H110" t="s">
        <v>83</v>
      </c>
      <c r="I110" s="1">
        <v>46007.452824074076</v>
      </c>
      <c r="J110" t="s">
        <v>49</v>
      </c>
      <c r="K110" s="1">
        <v>46008.50172453704</v>
      </c>
      <c r="L110" s="1">
        <v>46008.539849537039</v>
      </c>
      <c r="M110">
        <v>55</v>
      </c>
      <c r="N110" t="s">
        <v>14</v>
      </c>
      <c r="O110" t="s">
        <v>177</v>
      </c>
      <c r="P110" t="s">
        <v>71</v>
      </c>
      <c r="Q110">
        <v>76</v>
      </c>
      <c r="R110" t="s">
        <v>113</v>
      </c>
      <c r="S110" t="s">
        <v>27</v>
      </c>
    </row>
    <row r="111" spans="1:19" x14ac:dyDescent="0.25">
      <c r="A111" t="s">
        <v>14</v>
      </c>
      <c r="B111" t="s">
        <v>430</v>
      </c>
      <c r="C111" t="s">
        <v>431</v>
      </c>
      <c r="D111" t="s">
        <v>432</v>
      </c>
      <c r="E111" t="s">
        <v>433</v>
      </c>
      <c r="F111" t="s">
        <v>47</v>
      </c>
      <c r="G111">
        <v>14737</v>
      </c>
      <c r="H111" t="s">
        <v>76</v>
      </c>
      <c r="I111" s="1">
        <v>46007.454189814816</v>
      </c>
      <c r="J111" t="s">
        <v>49</v>
      </c>
      <c r="K111" s="1">
        <v>46008.500925925924</v>
      </c>
      <c r="L111" s="1">
        <v>46008.544479166667</v>
      </c>
      <c r="M111">
        <v>63</v>
      </c>
      <c r="N111" t="s">
        <v>14</v>
      </c>
      <c r="O111" t="s">
        <v>93</v>
      </c>
      <c r="P111" t="s">
        <v>51</v>
      </c>
      <c r="Q111">
        <v>52</v>
      </c>
      <c r="R111" t="s">
        <v>52</v>
      </c>
      <c r="S111" t="s">
        <v>27</v>
      </c>
    </row>
    <row r="112" spans="1:19" x14ac:dyDescent="0.25">
      <c r="A112" t="s">
        <v>14</v>
      </c>
      <c r="B112" t="s">
        <v>434</v>
      </c>
      <c r="C112" t="s">
        <v>435</v>
      </c>
      <c r="D112" t="s">
        <v>436</v>
      </c>
      <c r="E112" t="s">
        <v>437</v>
      </c>
      <c r="F112" t="s">
        <v>47</v>
      </c>
      <c r="G112">
        <v>12122</v>
      </c>
      <c r="H112" t="s">
        <v>76</v>
      </c>
      <c r="I112" s="1">
        <v>46007.455243055556</v>
      </c>
      <c r="J112" t="s">
        <v>49</v>
      </c>
      <c r="K112" s="1">
        <v>46008.500752314816</v>
      </c>
      <c r="L112" s="1">
        <v>46008.535624999997</v>
      </c>
      <c r="M112">
        <v>51</v>
      </c>
      <c r="N112" t="s">
        <v>14</v>
      </c>
      <c r="O112" t="s">
        <v>99</v>
      </c>
      <c r="P112" t="s">
        <v>51</v>
      </c>
      <c r="Q112">
        <v>112</v>
      </c>
      <c r="R112" t="s">
        <v>52</v>
      </c>
      <c r="S112" t="s">
        <v>27</v>
      </c>
    </row>
    <row r="113" spans="1:19" x14ac:dyDescent="0.25">
      <c r="A113" t="s">
        <v>14</v>
      </c>
      <c r="B113" t="s">
        <v>438</v>
      </c>
      <c r="C113" t="s">
        <v>125</v>
      </c>
      <c r="D113" t="s">
        <v>439</v>
      </c>
      <c r="E113" t="s">
        <v>440</v>
      </c>
      <c r="F113" t="s">
        <v>47</v>
      </c>
      <c r="G113" s="2" t="s">
        <v>441</v>
      </c>
      <c r="H113" t="s">
        <v>70</v>
      </c>
      <c r="I113" s="1">
        <v>46007.456793981481</v>
      </c>
      <c r="J113" t="s">
        <v>49</v>
      </c>
      <c r="K113" s="1">
        <v>46008.500497685185</v>
      </c>
      <c r="L113" s="1">
        <v>46008.54519675926</v>
      </c>
      <c r="M113">
        <v>65</v>
      </c>
      <c r="N113" t="s">
        <v>14</v>
      </c>
      <c r="O113" t="s">
        <v>156</v>
      </c>
      <c r="P113" t="s">
        <v>216</v>
      </c>
      <c r="Q113">
        <v>0</v>
      </c>
      <c r="R113" t="s">
        <v>52</v>
      </c>
      <c r="S113" t="s">
        <v>27</v>
      </c>
    </row>
    <row r="114" spans="1:19" x14ac:dyDescent="0.25">
      <c r="A114" t="s">
        <v>14</v>
      </c>
      <c r="B114" t="s">
        <v>442</v>
      </c>
      <c r="C114" t="s">
        <v>109</v>
      </c>
      <c r="D114" t="s">
        <v>443</v>
      </c>
      <c r="E114" t="s">
        <v>444</v>
      </c>
      <c r="F114" t="s">
        <v>47</v>
      </c>
      <c r="G114">
        <v>12885</v>
      </c>
      <c r="H114" t="s">
        <v>76</v>
      </c>
      <c r="I114" s="1">
        <v>46007.457754629628</v>
      </c>
      <c r="J114" t="s">
        <v>49</v>
      </c>
      <c r="K114" s="1">
        <v>46008.504363425927</v>
      </c>
      <c r="L114" s="1">
        <v>46008.544976851852</v>
      </c>
      <c r="M114">
        <v>59</v>
      </c>
      <c r="N114" t="s">
        <v>14</v>
      </c>
      <c r="O114" t="s">
        <v>50</v>
      </c>
      <c r="P114" t="s">
        <v>103</v>
      </c>
      <c r="Q114">
        <v>500000</v>
      </c>
      <c r="R114" t="s">
        <v>52</v>
      </c>
      <c r="S114" t="s">
        <v>27</v>
      </c>
    </row>
    <row r="115" spans="1:19" x14ac:dyDescent="0.25">
      <c r="A115" t="s">
        <v>14</v>
      </c>
      <c r="B115" t="s">
        <v>445</v>
      </c>
      <c r="C115" t="s">
        <v>446</v>
      </c>
      <c r="D115" t="s">
        <v>447</v>
      </c>
      <c r="E115" t="s">
        <v>448</v>
      </c>
      <c r="F115" t="s">
        <v>47</v>
      </c>
      <c r="G115" s="2" t="s">
        <v>449</v>
      </c>
      <c r="H115" t="s">
        <v>70</v>
      </c>
      <c r="I115" s="1">
        <v>46007.461863425924</v>
      </c>
      <c r="J115" t="s">
        <v>49</v>
      </c>
      <c r="K115" s="1">
        <v>46008.493680555555</v>
      </c>
      <c r="L115" s="1">
        <v>46008.544803240744</v>
      </c>
      <c r="M115">
        <v>74</v>
      </c>
      <c r="N115" t="s">
        <v>14</v>
      </c>
      <c r="O115" t="s">
        <v>50</v>
      </c>
      <c r="P115" t="s">
        <v>71</v>
      </c>
      <c r="Q115">
        <v>5000</v>
      </c>
      <c r="R115" t="s">
        <v>113</v>
      </c>
      <c r="S115" t="s">
        <v>27</v>
      </c>
    </row>
    <row r="116" spans="1:19" x14ac:dyDescent="0.25">
      <c r="A116" t="s">
        <v>14</v>
      </c>
      <c r="B116" t="s">
        <v>450</v>
      </c>
      <c r="C116" t="s">
        <v>451</v>
      </c>
      <c r="D116" t="s">
        <v>452</v>
      </c>
      <c r="E116" t="s">
        <v>453</v>
      </c>
      <c r="F116" t="s">
        <v>47</v>
      </c>
      <c r="G116">
        <v>97459</v>
      </c>
      <c r="H116" t="s">
        <v>454</v>
      </c>
      <c r="I116" s="1">
        <v>46007.463333333333</v>
      </c>
      <c r="J116" t="s">
        <v>49</v>
      </c>
      <c r="K116" s="1">
        <v>46008.497187499997</v>
      </c>
      <c r="L116" s="1">
        <v>46008.54483796296</v>
      </c>
      <c r="M116">
        <v>69</v>
      </c>
      <c r="N116" t="s">
        <v>14</v>
      </c>
      <c r="O116" t="s">
        <v>50</v>
      </c>
      <c r="P116" t="s">
        <v>103</v>
      </c>
      <c r="Q116">
        <v>1000</v>
      </c>
      <c r="R116" t="s">
        <v>52</v>
      </c>
      <c r="S116" t="s">
        <v>27</v>
      </c>
    </row>
    <row r="117" spans="1:19" x14ac:dyDescent="0.25">
      <c r="A117" t="s">
        <v>14</v>
      </c>
      <c r="B117" t="s">
        <v>450</v>
      </c>
      <c r="C117" t="s">
        <v>451</v>
      </c>
      <c r="D117" t="s">
        <v>452</v>
      </c>
      <c r="E117" t="s">
        <v>453</v>
      </c>
      <c r="K117" s="1">
        <v>46008.502696759257</v>
      </c>
      <c r="L117" s="1">
        <v>46008.550474537034</v>
      </c>
      <c r="M117">
        <v>69</v>
      </c>
      <c r="N117" t="s">
        <v>14</v>
      </c>
      <c r="S117" t="s">
        <v>27</v>
      </c>
    </row>
    <row r="118" spans="1:19" x14ac:dyDescent="0.25">
      <c r="A118" t="s">
        <v>14</v>
      </c>
      <c r="B118" t="s">
        <v>455</v>
      </c>
      <c r="C118" t="s">
        <v>456</v>
      </c>
      <c r="D118" t="s">
        <v>457</v>
      </c>
      <c r="E118" t="s">
        <v>458</v>
      </c>
      <c r="F118" t="s">
        <v>47</v>
      </c>
      <c r="G118" s="2" t="s">
        <v>459</v>
      </c>
      <c r="H118" t="s">
        <v>83</v>
      </c>
      <c r="I118" s="1">
        <v>46007.463634259257</v>
      </c>
      <c r="J118" t="s">
        <v>49</v>
      </c>
      <c r="K118" s="1">
        <v>46008.497013888889</v>
      </c>
      <c r="L118" s="1">
        <v>46008.49726851852</v>
      </c>
      <c r="M118">
        <v>1</v>
      </c>
      <c r="N118" t="s">
        <v>14</v>
      </c>
      <c r="O118" t="s">
        <v>50</v>
      </c>
      <c r="P118" t="s">
        <v>71</v>
      </c>
      <c r="Q118">
        <v>135</v>
      </c>
      <c r="R118" t="s">
        <v>52</v>
      </c>
      <c r="S118" t="s">
        <v>27</v>
      </c>
    </row>
    <row r="119" spans="1:19" x14ac:dyDescent="0.25">
      <c r="A119" t="s">
        <v>14</v>
      </c>
      <c r="B119" t="s">
        <v>455</v>
      </c>
      <c r="C119" t="s">
        <v>456</v>
      </c>
      <c r="D119" t="s">
        <v>457</v>
      </c>
      <c r="E119" t="s">
        <v>458</v>
      </c>
      <c r="K119" s="1">
        <v>46008.498761574076</v>
      </c>
      <c r="L119" s="1">
        <v>46008.500231481485</v>
      </c>
      <c r="M119">
        <v>3</v>
      </c>
      <c r="N119" t="s">
        <v>14</v>
      </c>
      <c r="S119" t="s">
        <v>27</v>
      </c>
    </row>
    <row r="120" spans="1:19" x14ac:dyDescent="0.25">
      <c r="A120" t="s">
        <v>14</v>
      </c>
      <c r="B120" t="s">
        <v>455</v>
      </c>
      <c r="C120" t="s">
        <v>456</v>
      </c>
      <c r="D120" t="s">
        <v>457</v>
      </c>
      <c r="E120" t="s">
        <v>458</v>
      </c>
      <c r="K120" s="1">
        <v>46008.500567129631</v>
      </c>
      <c r="L120" s="1">
        <v>46008.545208333337</v>
      </c>
      <c r="M120">
        <v>65</v>
      </c>
      <c r="N120" t="s">
        <v>14</v>
      </c>
      <c r="S120" t="s">
        <v>27</v>
      </c>
    </row>
    <row r="121" spans="1:19" x14ac:dyDescent="0.25">
      <c r="A121" t="s">
        <v>14</v>
      </c>
      <c r="B121" t="s">
        <v>460</v>
      </c>
      <c r="C121" t="s">
        <v>461</v>
      </c>
      <c r="D121" t="s">
        <v>462</v>
      </c>
      <c r="E121" t="s">
        <v>463</v>
      </c>
      <c r="F121" t="s">
        <v>47</v>
      </c>
      <c r="G121">
        <v>10522</v>
      </c>
      <c r="H121" t="s">
        <v>76</v>
      </c>
      <c r="I121" s="1">
        <v>46007.464305555557</v>
      </c>
      <c r="J121" t="s">
        <v>49</v>
      </c>
      <c r="K121" s="1">
        <v>46008.518657407411</v>
      </c>
      <c r="L121" s="1">
        <v>46008.532152777778</v>
      </c>
      <c r="M121">
        <v>20</v>
      </c>
      <c r="N121" t="s">
        <v>14</v>
      </c>
      <c r="O121" t="s">
        <v>136</v>
      </c>
      <c r="P121" t="s">
        <v>136</v>
      </c>
      <c r="Q121">
        <v>33</v>
      </c>
      <c r="R121" t="s">
        <v>52</v>
      </c>
      <c r="S121" t="s">
        <v>27</v>
      </c>
    </row>
    <row r="122" spans="1:19" x14ac:dyDescent="0.25">
      <c r="A122" t="s">
        <v>14</v>
      </c>
      <c r="B122" t="s">
        <v>464</v>
      </c>
      <c r="C122" t="s">
        <v>465</v>
      </c>
      <c r="D122" t="s">
        <v>466</v>
      </c>
      <c r="E122" t="s">
        <v>467</v>
      </c>
      <c r="F122" t="s">
        <v>47</v>
      </c>
      <c r="G122">
        <v>54891</v>
      </c>
      <c r="H122" t="s">
        <v>324</v>
      </c>
      <c r="I122" s="1">
        <v>46007.464918981481</v>
      </c>
      <c r="J122" t="s">
        <v>49</v>
      </c>
      <c r="K122" s="1">
        <v>46008.506261574075</v>
      </c>
      <c r="L122" s="1">
        <v>46008.532337962963</v>
      </c>
      <c r="M122">
        <v>38</v>
      </c>
      <c r="N122" t="s">
        <v>14</v>
      </c>
      <c r="O122" t="s">
        <v>77</v>
      </c>
      <c r="P122" t="s">
        <v>51</v>
      </c>
      <c r="Q122">
        <v>20</v>
      </c>
      <c r="R122" t="s">
        <v>468</v>
      </c>
      <c r="S122" t="s">
        <v>27</v>
      </c>
    </row>
    <row r="123" spans="1:19" x14ac:dyDescent="0.25">
      <c r="A123" t="s">
        <v>14</v>
      </c>
      <c r="B123" t="s">
        <v>469</v>
      </c>
      <c r="C123" t="s">
        <v>350</v>
      </c>
      <c r="D123" t="s">
        <v>470</v>
      </c>
      <c r="E123" t="s">
        <v>471</v>
      </c>
      <c r="F123" t="s">
        <v>47</v>
      </c>
      <c r="G123">
        <v>12504</v>
      </c>
      <c r="H123" t="s">
        <v>76</v>
      </c>
      <c r="I123" s="1">
        <v>46007.471678240741</v>
      </c>
      <c r="J123" t="s">
        <v>49</v>
      </c>
      <c r="K123" s="1">
        <v>46008.502488425926</v>
      </c>
      <c r="L123" s="1">
        <v>46008.539131944446</v>
      </c>
      <c r="M123">
        <v>53</v>
      </c>
      <c r="N123" t="s">
        <v>14</v>
      </c>
      <c r="O123" t="s">
        <v>177</v>
      </c>
      <c r="P123" t="s">
        <v>51</v>
      </c>
      <c r="Q123">
        <v>0</v>
      </c>
      <c r="R123" t="s">
        <v>52</v>
      </c>
      <c r="S123" t="s">
        <v>27</v>
      </c>
    </row>
    <row r="124" spans="1:19" x14ac:dyDescent="0.25">
      <c r="A124" t="s">
        <v>14</v>
      </c>
      <c r="B124" t="s">
        <v>472</v>
      </c>
      <c r="C124" t="s">
        <v>184</v>
      </c>
      <c r="D124" t="s">
        <v>101</v>
      </c>
      <c r="E124" t="s">
        <v>473</v>
      </c>
      <c r="F124" t="s">
        <v>47</v>
      </c>
      <c r="G124">
        <v>14850</v>
      </c>
      <c r="H124" t="s">
        <v>76</v>
      </c>
      <c r="I124" s="1">
        <v>46007.475023148145</v>
      </c>
      <c r="J124" t="s">
        <v>49</v>
      </c>
      <c r="K124" s="1">
        <v>46008.500277777777</v>
      </c>
      <c r="L124" s="1">
        <v>46008.514826388891</v>
      </c>
      <c r="M124">
        <v>21</v>
      </c>
      <c r="N124" t="s">
        <v>26</v>
      </c>
      <c r="O124" t="s">
        <v>99</v>
      </c>
      <c r="P124" t="s">
        <v>51</v>
      </c>
      <c r="Q124">
        <v>0</v>
      </c>
      <c r="R124" t="s">
        <v>113</v>
      </c>
      <c r="S124" t="s">
        <v>27</v>
      </c>
    </row>
    <row r="125" spans="1:19" x14ac:dyDescent="0.25">
      <c r="A125" t="s">
        <v>14</v>
      </c>
      <c r="B125" t="s">
        <v>472</v>
      </c>
      <c r="C125" t="s">
        <v>184</v>
      </c>
      <c r="D125" t="s">
        <v>101</v>
      </c>
      <c r="E125" t="s">
        <v>473</v>
      </c>
      <c r="K125" s="1">
        <v>46008.514930555553</v>
      </c>
      <c r="L125" s="1">
        <v>46008.545300925929</v>
      </c>
      <c r="M125">
        <v>44</v>
      </c>
      <c r="N125" t="s">
        <v>26</v>
      </c>
      <c r="S125" t="s">
        <v>27</v>
      </c>
    </row>
    <row r="126" spans="1:19" x14ac:dyDescent="0.25">
      <c r="A126" t="s">
        <v>14</v>
      </c>
      <c r="B126" t="s">
        <v>474</v>
      </c>
      <c r="C126" t="s">
        <v>475</v>
      </c>
      <c r="D126" t="s">
        <v>476</v>
      </c>
      <c r="E126" t="s">
        <v>477</v>
      </c>
      <c r="F126" t="s">
        <v>47</v>
      </c>
      <c r="G126">
        <v>40359</v>
      </c>
      <c r="H126" t="s">
        <v>478</v>
      </c>
      <c r="I126" s="1">
        <v>46007.498437499999</v>
      </c>
      <c r="J126" t="s">
        <v>49</v>
      </c>
      <c r="K126" s="1">
        <v>46008.494131944448</v>
      </c>
      <c r="L126" s="1">
        <v>46008.544733796298</v>
      </c>
      <c r="M126">
        <v>73</v>
      </c>
      <c r="N126" t="s">
        <v>14</v>
      </c>
      <c r="O126" t="s">
        <v>77</v>
      </c>
      <c r="P126" t="s">
        <v>51</v>
      </c>
      <c r="Q126">
        <v>1</v>
      </c>
      <c r="R126" t="s">
        <v>113</v>
      </c>
      <c r="S126" t="s">
        <v>27</v>
      </c>
    </row>
    <row r="127" spans="1:19" x14ac:dyDescent="0.25">
      <c r="A127" t="s">
        <v>14</v>
      </c>
      <c r="B127" t="s">
        <v>479</v>
      </c>
      <c r="C127" t="s">
        <v>119</v>
      </c>
      <c r="D127" t="s">
        <v>480</v>
      </c>
      <c r="E127" t="s">
        <v>481</v>
      </c>
      <c r="F127" t="s">
        <v>47</v>
      </c>
      <c r="G127" s="2" t="s">
        <v>482</v>
      </c>
      <c r="H127" t="s">
        <v>70</v>
      </c>
      <c r="I127" s="1">
        <v>46007.503854166665</v>
      </c>
      <c r="J127" t="s">
        <v>49</v>
      </c>
      <c r="K127" s="1">
        <v>46008.499293981484</v>
      </c>
      <c r="L127" s="1">
        <v>46008.544930555552</v>
      </c>
      <c r="M127">
        <v>66</v>
      </c>
      <c r="N127" t="s">
        <v>14</v>
      </c>
      <c r="O127" t="s">
        <v>50</v>
      </c>
      <c r="P127" t="s">
        <v>59</v>
      </c>
      <c r="Q127">
        <v>5000</v>
      </c>
      <c r="R127" t="s">
        <v>52</v>
      </c>
      <c r="S127" t="s">
        <v>27</v>
      </c>
    </row>
    <row r="128" spans="1:19" x14ac:dyDescent="0.25">
      <c r="A128" t="s">
        <v>14</v>
      </c>
      <c r="B128" t="s">
        <v>483</v>
      </c>
      <c r="C128" t="s">
        <v>484</v>
      </c>
      <c r="D128" t="s">
        <v>485</v>
      </c>
      <c r="E128" t="s">
        <v>486</v>
      </c>
      <c r="F128" t="s">
        <v>47</v>
      </c>
      <c r="G128" s="2" t="s">
        <v>487</v>
      </c>
      <c r="H128" t="s">
        <v>70</v>
      </c>
      <c r="I128" s="1">
        <v>46007.513402777775</v>
      </c>
      <c r="J128" t="s">
        <v>49</v>
      </c>
      <c r="K128" s="1">
        <v>46008.497546296298</v>
      </c>
      <c r="L128" s="1">
        <v>46008.53837962963</v>
      </c>
      <c r="M128">
        <v>59</v>
      </c>
      <c r="N128" t="s">
        <v>14</v>
      </c>
      <c r="O128" t="s">
        <v>50</v>
      </c>
      <c r="P128" t="s">
        <v>103</v>
      </c>
      <c r="Q128">
        <v>500</v>
      </c>
      <c r="R128" t="s">
        <v>52</v>
      </c>
      <c r="S128" t="s">
        <v>27</v>
      </c>
    </row>
    <row r="129" spans="1:19" x14ac:dyDescent="0.25">
      <c r="A129" t="s">
        <v>14</v>
      </c>
      <c r="B129" t="s">
        <v>488</v>
      </c>
      <c r="C129" t="s">
        <v>213</v>
      </c>
      <c r="D129" t="s">
        <v>489</v>
      </c>
      <c r="E129" t="s">
        <v>490</v>
      </c>
      <c r="F129" t="s">
        <v>47</v>
      </c>
      <c r="G129">
        <v>14094</v>
      </c>
      <c r="H129" t="s">
        <v>76</v>
      </c>
      <c r="I129" s="1">
        <v>46007.52070601852</v>
      </c>
      <c r="J129" t="s">
        <v>49</v>
      </c>
      <c r="K129" s="1">
        <v>46008.498611111114</v>
      </c>
      <c r="L129" s="1">
        <v>46008.544999999998</v>
      </c>
      <c r="M129">
        <v>67</v>
      </c>
      <c r="N129" t="s">
        <v>14</v>
      </c>
      <c r="O129" t="s">
        <v>156</v>
      </c>
      <c r="P129" t="s">
        <v>51</v>
      </c>
      <c r="Q129">
        <v>500</v>
      </c>
      <c r="R129" t="s">
        <v>113</v>
      </c>
      <c r="S129" t="s">
        <v>27</v>
      </c>
    </row>
    <row r="130" spans="1:19" x14ac:dyDescent="0.25">
      <c r="A130" t="s">
        <v>14</v>
      </c>
      <c r="B130" t="s">
        <v>491</v>
      </c>
      <c r="C130" t="s">
        <v>492</v>
      </c>
      <c r="D130" t="s">
        <v>493</v>
      </c>
      <c r="E130" t="s">
        <v>494</v>
      </c>
      <c r="F130" t="s">
        <v>47</v>
      </c>
      <c r="G130">
        <v>95616</v>
      </c>
      <c r="H130" t="s">
        <v>147</v>
      </c>
      <c r="I130" s="1">
        <v>46007.525011574071</v>
      </c>
      <c r="J130" t="s">
        <v>49</v>
      </c>
      <c r="K130" s="1">
        <v>46008.509004629632</v>
      </c>
      <c r="L130" s="1">
        <v>46008.553263888891</v>
      </c>
      <c r="M130">
        <v>64</v>
      </c>
      <c r="N130" t="s">
        <v>14</v>
      </c>
      <c r="O130" t="s">
        <v>156</v>
      </c>
      <c r="P130" t="s">
        <v>51</v>
      </c>
      <c r="Q130">
        <v>0</v>
      </c>
      <c r="R130" t="s">
        <v>113</v>
      </c>
      <c r="S130" t="s">
        <v>27</v>
      </c>
    </row>
    <row r="131" spans="1:19" x14ac:dyDescent="0.25">
      <c r="A131" t="s">
        <v>14</v>
      </c>
      <c r="B131" t="s">
        <v>495</v>
      </c>
      <c r="C131" t="s">
        <v>95</v>
      </c>
      <c r="D131" t="s">
        <v>496</v>
      </c>
      <c r="E131" t="s">
        <v>497</v>
      </c>
      <c r="F131" t="s">
        <v>47</v>
      </c>
      <c r="G131">
        <v>12572</v>
      </c>
      <c r="H131" t="s">
        <v>76</v>
      </c>
      <c r="I131" s="1">
        <v>46007.538240740738</v>
      </c>
      <c r="J131" t="s">
        <v>49</v>
      </c>
      <c r="K131" s="1">
        <v>46008.495636574073</v>
      </c>
      <c r="L131" s="1">
        <v>46008.545520833337</v>
      </c>
      <c r="M131">
        <v>72</v>
      </c>
      <c r="N131" t="s">
        <v>14</v>
      </c>
      <c r="O131" t="s">
        <v>50</v>
      </c>
      <c r="P131" t="s">
        <v>51</v>
      </c>
      <c r="Q131">
        <v>1</v>
      </c>
      <c r="R131" t="s">
        <v>52</v>
      </c>
      <c r="S131" t="s">
        <v>27</v>
      </c>
    </row>
    <row r="132" spans="1:19" x14ac:dyDescent="0.25">
      <c r="A132" t="s">
        <v>14</v>
      </c>
      <c r="B132" t="s">
        <v>498</v>
      </c>
      <c r="C132" t="s">
        <v>499</v>
      </c>
      <c r="D132" t="s">
        <v>500</v>
      </c>
      <c r="E132" t="s">
        <v>501</v>
      </c>
      <c r="F132" t="s">
        <v>47</v>
      </c>
      <c r="G132">
        <v>53968</v>
      </c>
      <c r="H132" t="s">
        <v>324</v>
      </c>
      <c r="I132" s="1">
        <v>46007.545208333337</v>
      </c>
      <c r="J132" t="s">
        <v>49</v>
      </c>
      <c r="K132" s="1">
        <v>46008.500821759262</v>
      </c>
      <c r="L132" s="1">
        <v>46008.532280092593</v>
      </c>
      <c r="M132">
        <v>46</v>
      </c>
      <c r="N132" t="s">
        <v>14</v>
      </c>
      <c r="O132" t="s">
        <v>93</v>
      </c>
      <c r="P132" t="s">
        <v>51</v>
      </c>
      <c r="Q132">
        <v>160</v>
      </c>
      <c r="R132" t="s">
        <v>468</v>
      </c>
      <c r="S132" t="s">
        <v>27</v>
      </c>
    </row>
    <row r="133" spans="1:19" x14ac:dyDescent="0.25">
      <c r="A133" t="s">
        <v>14</v>
      </c>
      <c r="B133" t="s">
        <v>502</v>
      </c>
      <c r="C133" t="s">
        <v>503</v>
      </c>
      <c r="D133" t="s">
        <v>504</v>
      </c>
      <c r="E133" t="s">
        <v>505</v>
      </c>
      <c r="F133" t="s">
        <v>147</v>
      </c>
      <c r="G133" t="s">
        <v>506</v>
      </c>
      <c r="H133" t="s">
        <v>507</v>
      </c>
      <c r="I133" s="1">
        <v>46007.545763888891</v>
      </c>
      <c r="J133" t="s">
        <v>49</v>
      </c>
      <c r="K133" s="1">
        <v>46008.728900462964</v>
      </c>
      <c r="L133" s="1">
        <v>46008.835092592592</v>
      </c>
      <c r="M133">
        <v>153</v>
      </c>
      <c r="N133" t="s">
        <v>14</v>
      </c>
      <c r="O133" t="s">
        <v>93</v>
      </c>
      <c r="P133" t="s">
        <v>51</v>
      </c>
      <c r="Q133">
        <v>3000</v>
      </c>
      <c r="R133" t="s">
        <v>113</v>
      </c>
      <c r="S133" t="s">
        <v>150</v>
      </c>
    </row>
    <row r="134" spans="1:19" x14ac:dyDescent="0.25">
      <c r="A134" t="s">
        <v>14</v>
      </c>
      <c r="B134" t="s">
        <v>502</v>
      </c>
      <c r="C134" t="s">
        <v>503</v>
      </c>
      <c r="D134" t="s">
        <v>504</v>
      </c>
      <c r="E134" t="s">
        <v>505</v>
      </c>
      <c r="K134" s="1">
        <v>46008.734768518516</v>
      </c>
      <c r="L134" s="1">
        <v>46008.754791666666</v>
      </c>
      <c r="M134">
        <v>29</v>
      </c>
      <c r="N134" t="s">
        <v>14</v>
      </c>
      <c r="S134" t="s">
        <v>150</v>
      </c>
    </row>
    <row r="135" spans="1:19" x14ac:dyDescent="0.25">
      <c r="A135" t="s">
        <v>14</v>
      </c>
      <c r="B135" t="s">
        <v>502</v>
      </c>
      <c r="C135" t="s">
        <v>503</v>
      </c>
      <c r="D135" t="s">
        <v>504</v>
      </c>
      <c r="E135" t="s">
        <v>505</v>
      </c>
      <c r="K135" s="1">
        <v>46008.755173611113</v>
      </c>
      <c r="L135" s="1">
        <v>46008.755381944444</v>
      </c>
      <c r="M135">
        <v>1</v>
      </c>
      <c r="N135" t="s">
        <v>14</v>
      </c>
      <c r="S135" t="s">
        <v>150</v>
      </c>
    </row>
    <row r="136" spans="1:19" x14ac:dyDescent="0.25">
      <c r="A136" t="s">
        <v>14</v>
      </c>
      <c r="B136" t="s">
        <v>502</v>
      </c>
      <c r="C136" t="s">
        <v>503</v>
      </c>
      <c r="D136" t="s">
        <v>504</v>
      </c>
      <c r="E136" t="s">
        <v>505</v>
      </c>
      <c r="K136" s="1">
        <v>46008.755601851852</v>
      </c>
      <c r="L136" s="1">
        <v>46008.757418981484</v>
      </c>
      <c r="M136">
        <v>3</v>
      </c>
      <c r="N136" t="s">
        <v>14</v>
      </c>
      <c r="S136" t="s">
        <v>150</v>
      </c>
    </row>
    <row r="137" spans="1:19" x14ac:dyDescent="0.25">
      <c r="A137" t="s">
        <v>14</v>
      </c>
      <c r="B137" t="s">
        <v>502</v>
      </c>
      <c r="C137" t="s">
        <v>503</v>
      </c>
      <c r="D137" t="s">
        <v>504</v>
      </c>
      <c r="E137" t="s">
        <v>505</v>
      </c>
      <c r="K137" s="1">
        <v>46008.756435185183</v>
      </c>
      <c r="L137" s="1">
        <v>46008.757280092592</v>
      </c>
      <c r="M137">
        <v>2</v>
      </c>
      <c r="N137" t="s">
        <v>14</v>
      </c>
      <c r="S137" t="s">
        <v>150</v>
      </c>
    </row>
    <row r="138" spans="1:19" x14ac:dyDescent="0.25">
      <c r="A138" t="s">
        <v>14</v>
      </c>
      <c r="B138" t="s">
        <v>502</v>
      </c>
      <c r="C138" t="s">
        <v>503</v>
      </c>
      <c r="D138" t="s">
        <v>504</v>
      </c>
      <c r="E138" t="s">
        <v>505</v>
      </c>
      <c r="K138" s="1">
        <v>46008.757418981484</v>
      </c>
      <c r="L138" s="1">
        <v>46008.759664351855</v>
      </c>
      <c r="M138">
        <v>4</v>
      </c>
      <c r="N138" t="s">
        <v>14</v>
      </c>
      <c r="S138" t="s">
        <v>150</v>
      </c>
    </row>
    <row r="139" spans="1:19" x14ac:dyDescent="0.25">
      <c r="A139" t="s">
        <v>14</v>
      </c>
      <c r="B139" t="s">
        <v>502</v>
      </c>
      <c r="C139" t="s">
        <v>503</v>
      </c>
      <c r="D139" t="s">
        <v>504</v>
      </c>
      <c r="E139" t="s">
        <v>505</v>
      </c>
      <c r="K139" s="1">
        <v>46008.757731481484</v>
      </c>
      <c r="L139" s="1">
        <v>46008.835092592592</v>
      </c>
      <c r="M139">
        <v>112</v>
      </c>
      <c r="N139" t="s">
        <v>14</v>
      </c>
      <c r="S139" t="s">
        <v>150</v>
      </c>
    </row>
    <row r="140" spans="1:19" x14ac:dyDescent="0.25">
      <c r="A140" t="s">
        <v>14</v>
      </c>
      <c r="B140" t="s">
        <v>508</v>
      </c>
      <c r="C140" t="s">
        <v>509</v>
      </c>
      <c r="D140" t="s">
        <v>510</v>
      </c>
      <c r="E140" t="s">
        <v>511</v>
      </c>
      <c r="F140" t="s">
        <v>47</v>
      </c>
      <c r="G140">
        <v>98394</v>
      </c>
      <c r="H140" t="s">
        <v>512</v>
      </c>
      <c r="I140" s="1">
        <v>46007.569837962961</v>
      </c>
      <c r="J140" t="s">
        <v>49</v>
      </c>
      <c r="K140" s="1">
        <v>46008.78943287037</v>
      </c>
      <c r="L140" s="1">
        <v>46008.835092592592</v>
      </c>
      <c r="M140">
        <v>66</v>
      </c>
      <c r="N140" t="s">
        <v>14</v>
      </c>
      <c r="O140" t="s">
        <v>88</v>
      </c>
      <c r="P140" t="s">
        <v>103</v>
      </c>
      <c r="Q140">
        <v>5100</v>
      </c>
      <c r="R140" t="s">
        <v>52</v>
      </c>
      <c r="S140" t="s">
        <v>27</v>
      </c>
    </row>
    <row r="141" spans="1:19" x14ac:dyDescent="0.25">
      <c r="A141" t="s">
        <v>14</v>
      </c>
      <c r="B141" t="s">
        <v>513</v>
      </c>
      <c r="C141" t="s">
        <v>451</v>
      </c>
      <c r="D141" t="s">
        <v>514</v>
      </c>
      <c r="E141" t="s">
        <v>515</v>
      </c>
      <c r="F141" t="s">
        <v>47</v>
      </c>
      <c r="G141">
        <v>12955</v>
      </c>
      <c r="H141" t="s">
        <v>76</v>
      </c>
      <c r="I141" s="1">
        <v>46007.580254629633</v>
      </c>
      <c r="J141" t="s">
        <v>49</v>
      </c>
      <c r="K141" s="1">
        <v>46008.798229166663</v>
      </c>
      <c r="L141" s="1">
        <v>46008.804722222223</v>
      </c>
      <c r="M141">
        <v>10</v>
      </c>
      <c r="N141" t="s">
        <v>14</v>
      </c>
      <c r="O141" t="s">
        <v>516</v>
      </c>
      <c r="P141" t="s">
        <v>51</v>
      </c>
      <c r="Q141">
        <v>172</v>
      </c>
      <c r="R141" t="s">
        <v>52</v>
      </c>
      <c r="S141" t="s">
        <v>27</v>
      </c>
    </row>
    <row r="142" spans="1:19" x14ac:dyDescent="0.25">
      <c r="A142" t="s">
        <v>14</v>
      </c>
      <c r="B142" t="s">
        <v>517</v>
      </c>
      <c r="C142" t="s">
        <v>518</v>
      </c>
      <c r="D142" t="s">
        <v>519</v>
      </c>
      <c r="E142" t="s">
        <v>520</v>
      </c>
      <c r="F142" t="s">
        <v>47</v>
      </c>
      <c r="G142">
        <v>48624</v>
      </c>
      <c r="H142" t="s">
        <v>521</v>
      </c>
      <c r="I142" s="1">
        <v>46007.597037037034</v>
      </c>
      <c r="J142" t="s">
        <v>49</v>
      </c>
      <c r="K142" s="1">
        <v>46008.499131944445</v>
      </c>
      <c r="L142" s="1">
        <v>46008.544791666667</v>
      </c>
      <c r="M142">
        <v>66</v>
      </c>
      <c r="N142" t="s">
        <v>14</v>
      </c>
      <c r="O142" t="s">
        <v>93</v>
      </c>
      <c r="P142" t="s">
        <v>51</v>
      </c>
      <c r="Q142">
        <v>80</v>
      </c>
      <c r="R142" t="s">
        <v>52</v>
      </c>
      <c r="S142" t="s">
        <v>27</v>
      </c>
    </row>
    <row r="143" spans="1:19" x14ac:dyDescent="0.25">
      <c r="A143" t="s">
        <v>14</v>
      </c>
      <c r="B143" t="s">
        <v>522</v>
      </c>
      <c r="C143" t="s">
        <v>523</v>
      </c>
      <c r="D143" t="s">
        <v>524</v>
      </c>
      <c r="E143" t="s">
        <v>525</v>
      </c>
      <c r="F143" t="s">
        <v>47</v>
      </c>
      <c r="G143">
        <v>10506</v>
      </c>
      <c r="H143" t="s">
        <v>76</v>
      </c>
      <c r="I143" s="1">
        <v>46007.608171296299</v>
      </c>
      <c r="J143" t="s">
        <v>49</v>
      </c>
      <c r="K143" s="1">
        <v>46008.504236111112</v>
      </c>
      <c r="L143" s="1">
        <v>46008.522557870368</v>
      </c>
      <c r="M143">
        <v>27</v>
      </c>
      <c r="N143" t="s">
        <v>14</v>
      </c>
      <c r="O143" t="s">
        <v>136</v>
      </c>
      <c r="P143" t="s">
        <v>51</v>
      </c>
      <c r="Q143">
        <v>5.5</v>
      </c>
      <c r="R143" t="s">
        <v>113</v>
      </c>
      <c r="S143" t="s">
        <v>27</v>
      </c>
    </row>
    <row r="144" spans="1:19" x14ac:dyDescent="0.25">
      <c r="A144" t="s">
        <v>14</v>
      </c>
      <c r="B144" t="s">
        <v>526</v>
      </c>
      <c r="C144" t="s">
        <v>527</v>
      </c>
      <c r="D144" t="s">
        <v>528</v>
      </c>
      <c r="E144" t="s">
        <v>529</v>
      </c>
      <c r="F144" t="s">
        <v>47</v>
      </c>
      <c r="G144">
        <v>48823</v>
      </c>
      <c r="H144" t="s">
        <v>521</v>
      </c>
      <c r="I144" s="1">
        <v>46007.622847222221</v>
      </c>
      <c r="J144" t="s">
        <v>49</v>
      </c>
      <c r="K144" s="1">
        <v>46008.49690972222</v>
      </c>
      <c r="L144" s="1">
        <v>46008.544861111113</v>
      </c>
      <c r="M144">
        <v>70</v>
      </c>
      <c r="N144" t="s">
        <v>14</v>
      </c>
      <c r="O144" t="s">
        <v>156</v>
      </c>
      <c r="P144" t="s">
        <v>103</v>
      </c>
      <c r="Q144">
        <v>5</v>
      </c>
      <c r="R144" t="s">
        <v>52</v>
      </c>
      <c r="S144" t="s">
        <v>27</v>
      </c>
    </row>
    <row r="145" spans="1:19" x14ac:dyDescent="0.25">
      <c r="A145" t="s">
        <v>14</v>
      </c>
      <c r="B145" t="s">
        <v>530</v>
      </c>
      <c r="C145" t="s">
        <v>531</v>
      </c>
      <c r="D145" t="s">
        <v>532</v>
      </c>
      <c r="E145" t="s">
        <v>533</v>
      </c>
      <c r="F145" t="s">
        <v>47</v>
      </c>
      <c r="G145" s="2" t="s">
        <v>534</v>
      </c>
      <c r="H145" t="s">
        <v>83</v>
      </c>
      <c r="I145" s="1">
        <v>46007.645995370367</v>
      </c>
      <c r="J145" t="s">
        <v>49</v>
      </c>
      <c r="K145" s="1">
        <v>46008.490798611114</v>
      </c>
      <c r="L145" s="1">
        <v>46008.544733796298</v>
      </c>
      <c r="M145">
        <v>78</v>
      </c>
      <c r="N145" t="s">
        <v>14</v>
      </c>
      <c r="O145" t="s">
        <v>50</v>
      </c>
      <c r="P145" t="s">
        <v>51</v>
      </c>
      <c r="Q145">
        <v>1000</v>
      </c>
      <c r="R145" t="s">
        <v>113</v>
      </c>
      <c r="S145" t="s">
        <v>27</v>
      </c>
    </row>
    <row r="146" spans="1:19" x14ac:dyDescent="0.25">
      <c r="A146" t="s">
        <v>14</v>
      </c>
      <c r="B146" t="s">
        <v>535</v>
      </c>
      <c r="C146" t="s">
        <v>536</v>
      </c>
      <c r="D146" t="s">
        <v>537</v>
      </c>
      <c r="E146" t="s">
        <v>538</v>
      </c>
      <c r="F146" t="s">
        <v>47</v>
      </c>
      <c r="G146">
        <v>13367</v>
      </c>
      <c r="H146" t="s">
        <v>76</v>
      </c>
      <c r="I146" s="1">
        <v>46007.64644675926</v>
      </c>
      <c r="J146" t="s">
        <v>49</v>
      </c>
      <c r="K146" s="1">
        <v>46008.488564814812</v>
      </c>
      <c r="L146" s="1">
        <v>46008.544733796298</v>
      </c>
      <c r="M146">
        <v>81</v>
      </c>
      <c r="N146" t="s">
        <v>14</v>
      </c>
      <c r="O146" t="s">
        <v>50</v>
      </c>
      <c r="P146" t="s">
        <v>51</v>
      </c>
      <c r="Q146">
        <v>10000</v>
      </c>
      <c r="R146" t="s">
        <v>52</v>
      </c>
      <c r="S146" t="s">
        <v>27</v>
      </c>
    </row>
    <row r="147" spans="1:19" x14ac:dyDescent="0.25">
      <c r="A147" t="s">
        <v>14</v>
      </c>
      <c r="B147" t="s">
        <v>539</v>
      </c>
      <c r="C147" t="s">
        <v>540</v>
      </c>
      <c r="D147" t="s">
        <v>541</v>
      </c>
      <c r="E147" t="s">
        <v>542</v>
      </c>
      <c r="F147" t="s">
        <v>47</v>
      </c>
      <c r="G147">
        <v>12540</v>
      </c>
      <c r="H147" t="s">
        <v>76</v>
      </c>
      <c r="I147" s="1">
        <v>46007.648321759261</v>
      </c>
      <c r="J147" t="s">
        <v>49</v>
      </c>
      <c r="K147" s="1">
        <v>46008.503391203703</v>
      </c>
      <c r="L147" s="1">
        <v>46008.54482638889</v>
      </c>
      <c r="M147">
        <v>60</v>
      </c>
      <c r="N147" t="s">
        <v>14</v>
      </c>
      <c r="O147" t="s">
        <v>88</v>
      </c>
      <c r="P147" t="s">
        <v>216</v>
      </c>
      <c r="Q147">
        <v>30</v>
      </c>
      <c r="R147" t="s">
        <v>113</v>
      </c>
      <c r="S147" t="s">
        <v>27</v>
      </c>
    </row>
    <row r="148" spans="1:19" x14ac:dyDescent="0.25">
      <c r="A148" t="s">
        <v>14</v>
      </c>
      <c r="B148" t="s">
        <v>539</v>
      </c>
      <c r="C148" t="s">
        <v>540</v>
      </c>
      <c r="D148" t="s">
        <v>541</v>
      </c>
      <c r="E148" t="s">
        <v>542</v>
      </c>
      <c r="K148" s="1">
        <v>46008.808877314812</v>
      </c>
      <c r="L148" s="1">
        <v>46008.835092592592</v>
      </c>
      <c r="M148">
        <v>38</v>
      </c>
      <c r="N148" t="s">
        <v>14</v>
      </c>
      <c r="S148" t="s">
        <v>27</v>
      </c>
    </row>
    <row r="149" spans="1:19" x14ac:dyDescent="0.25">
      <c r="A149" t="s">
        <v>14</v>
      </c>
      <c r="B149" t="s">
        <v>543</v>
      </c>
      <c r="C149" t="s">
        <v>544</v>
      </c>
      <c r="D149" t="s">
        <v>545</v>
      </c>
      <c r="E149" t="s">
        <v>546</v>
      </c>
      <c r="F149" t="s">
        <v>47</v>
      </c>
      <c r="G149">
        <v>14850</v>
      </c>
      <c r="H149" t="s">
        <v>76</v>
      </c>
      <c r="I149" s="1">
        <v>46007.654085648152</v>
      </c>
      <c r="J149" t="s">
        <v>49</v>
      </c>
      <c r="K149" s="1">
        <v>46008.786377314813</v>
      </c>
      <c r="L149" s="1">
        <v>46008.835092592592</v>
      </c>
      <c r="M149">
        <v>71</v>
      </c>
      <c r="N149" t="s">
        <v>14</v>
      </c>
      <c r="O149" t="s">
        <v>88</v>
      </c>
      <c r="P149" t="s">
        <v>216</v>
      </c>
      <c r="Q149">
        <v>10</v>
      </c>
      <c r="R149" t="s">
        <v>52</v>
      </c>
      <c r="S149" t="s">
        <v>27</v>
      </c>
    </row>
    <row r="150" spans="1:19" x14ac:dyDescent="0.25">
      <c r="A150" t="s">
        <v>14</v>
      </c>
      <c r="B150" t="s">
        <v>547</v>
      </c>
      <c r="C150" t="s">
        <v>548</v>
      </c>
      <c r="D150" t="s">
        <v>549</v>
      </c>
      <c r="E150" t="s">
        <v>550</v>
      </c>
      <c r="F150" t="s">
        <v>47</v>
      </c>
      <c r="G150">
        <v>12981</v>
      </c>
      <c r="H150" t="s">
        <v>76</v>
      </c>
      <c r="I150" s="1">
        <v>46007.680555555555</v>
      </c>
      <c r="J150" t="s">
        <v>49</v>
      </c>
      <c r="K150" s="1">
        <v>46008.792511574073</v>
      </c>
      <c r="L150" s="1">
        <v>46008.835104166668</v>
      </c>
      <c r="M150">
        <v>62</v>
      </c>
      <c r="N150" t="s">
        <v>14</v>
      </c>
      <c r="O150" t="s">
        <v>88</v>
      </c>
      <c r="P150" t="s">
        <v>51</v>
      </c>
      <c r="Q150">
        <v>100</v>
      </c>
      <c r="R150" t="s">
        <v>52</v>
      </c>
      <c r="S150" t="s">
        <v>27</v>
      </c>
    </row>
    <row r="151" spans="1:19" x14ac:dyDescent="0.25">
      <c r="A151" t="s">
        <v>14</v>
      </c>
      <c r="B151" t="s">
        <v>551</v>
      </c>
      <c r="C151" t="s">
        <v>552</v>
      </c>
      <c r="D151" t="s">
        <v>553</v>
      </c>
      <c r="E151" t="s">
        <v>554</v>
      </c>
      <c r="F151" t="s">
        <v>47</v>
      </c>
      <c r="G151" s="2" t="s">
        <v>555</v>
      </c>
      <c r="H151" t="s">
        <v>70</v>
      </c>
      <c r="I151" s="1">
        <v>46007.728518518517</v>
      </c>
      <c r="J151" t="s">
        <v>49</v>
      </c>
      <c r="K151" s="1">
        <v>46008.788622685184</v>
      </c>
      <c r="L151" s="1">
        <v>46008.789895833332</v>
      </c>
      <c r="M151">
        <v>2</v>
      </c>
      <c r="N151" t="s">
        <v>14</v>
      </c>
      <c r="O151" t="s">
        <v>93</v>
      </c>
      <c r="P151" t="s">
        <v>51</v>
      </c>
      <c r="Q151">
        <v>300</v>
      </c>
      <c r="R151" t="s">
        <v>113</v>
      </c>
      <c r="S151" t="s">
        <v>27</v>
      </c>
    </row>
    <row r="152" spans="1:19" x14ac:dyDescent="0.25">
      <c r="A152" t="s">
        <v>14</v>
      </c>
      <c r="B152" t="s">
        <v>551</v>
      </c>
      <c r="C152" t="s">
        <v>552</v>
      </c>
      <c r="D152" t="s">
        <v>553</v>
      </c>
      <c r="E152" t="s">
        <v>554</v>
      </c>
      <c r="K152" s="1">
        <v>46008.790069444447</v>
      </c>
      <c r="L152" s="1">
        <v>46008.83222222222</v>
      </c>
      <c r="M152">
        <v>61</v>
      </c>
      <c r="N152" t="s">
        <v>14</v>
      </c>
      <c r="S152" t="s">
        <v>27</v>
      </c>
    </row>
    <row r="153" spans="1:19" x14ac:dyDescent="0.25">
      <c r="A153" t="s">
        <v>14</v>
      </c>
      <c r="B153" t="s">
        <v>556</v>
      </c>
      <c r="C153" t="s">
        <v>557</v>
      </c>
      <c r="D153" t="s">
        <v>558</v>
      </c>
      <c r="E153" t="s">
        <v>559</v>
      </c>
      <c r="F153" t="s">
        <v>47</v>
      </c>
      <c r="G153">
        <v>13210</v>
      </c>
      <c r="H153" t="s">
        <v>76</v>
      </c>
      <c r="I153" s="1">
        <v>46007.758599537039</v>
      </c>
      <c r="J153" t="s">
        <v>49</v>
      </c>
      <c r="K153" s="1">
        <v>46008.792361111111</v>
      </c>
      <c r="L153" s="1">
        <v>46008.835092592592</v>
      </c>
      <c r="M153">
        <v>62</v>
      </c>
      <c r="N153" t="s">
        <v>14</v>
      </c>
      <c r="O153" t="s">
        <v>99</v>
      </c>
      <c r="P153" t="s">
        <v>51</v>
      </c>
      <c r="Q153">
        <v>0</v>
      </c>
      <c r="R153" t="s">
        <v>113</v>
      </c>
      <c r="S153" t="s">
        <v>27</v>
      </c>
    </row>
    <row r="154" spans="1:19" x14ac:dyDescent="0.25">
      <c r="A154" t="s">
        <v>14</v>
      </c>
      <c r="B154" t="s">
        <v>560</v>
      </c>
      <c r="C154" t="s">
        <v>561</v>
      </c>
      <c r="D154" t="s">
        <v>562</v>
      </c>
      <c r="E154" t="s">
        <v>563</v>
      </c>
      <c r="F154" t="s">
        <v>47</v>
      </c>
      <c r="G154" t="str">
        <f>"49668-9135"</f>
        <v>49668-9135</v>
      </c>
      <c r="H154" t="s">
        <v>521</v>
      </c>
      <c r="I154" s="1">
        <v>46007.779016203705</v>
      </c>
      <c r="J154" t="s">
        <v>49</v>
      </c>
      <c r="K154" s="1">
        <v>46008.831574074073</v>
      </c>
      <c r="L154" s="1">
        <v>46008.835092592592</v>
      </c>
      <c r="M154">
        <v>6</v>
      </c>
      <c r="N154" t="s">
        <v>14</v>
      </c>
      <c r="O154" t="s">
        <v>136</v>
      </c>
      <c r="P154" t="s">
        <v>51</v>
      </c>
      <c r="Q154">
        <v>40</v>
      </c>
      <c r="R154" t="s">
        <v>468</v>
      </c>
      <c r="S154" t="s">
        <v>27</v>
      </c>
    </row>
    <row r="155" spans="1:19" x14ac:dyDescent="0.25">
      <c r="A155" t="s">
        <v>14</v>
      </c>
      <c r="B155" t="s">
        <v>564</v>
      </c>
      <c r="C155" t="s">
        <v>565</v>
      </c>
      <c r="D155" t="s">
        <v>566</v>
      </c>
      <c r="E155" t="s">
        <v>567</v>
      </c>
      <c r="F155" t="s">
        <v>47</v>
      </c>
      <c r="G155">
        <v>16354</v>
      </c>
      <c r="H155" t="s">
        <v>165</v>
      </c>
      <c r="I155" s="1">
        <v>46007.882326388892</v>
      </c>
      <c r="J155" t="s">
        <v>49</v>
      </c>
      <c r="K155" s="1">
        <v>46008.491412037038</v>
      </c>
      <c r="L155" s="1">
        <v>46008.543310185189</v>
      </c>
      <c r="M155">
        <v>75</v>
      </c>
      <c r="N155" t="s">
        <v>14</v>
      </c>
      <c r="O155" t="s">
        <v>50</v>
      </c>
      <c r="P155" t="s">
        <v>103</v>
      </c>
      <c r="Q155">
        <v>250</v>
      </c>
      <c r="R155" t="s">
        <v>52</v>
      </c>
      <c r="S155" t="s">
        <v>27</v>
      </c>
    </row>
    <row r="156" spans="1:19" x14ac:dyDescent="0.25">
      <c r="A156" t="s">
        <v>14</v>
      </c>
      <c r="B156" t="s">
        <v>568</v>
      </c>
      <c r="C156" t="s">
        <v>569</v>
      </c>
      <c r="D156" t="s">
        <v>570</v>
      </c>
      <c r="E156" t="s">
        <v>571</v>
      </c>
      <c r="F156" t="s">
        <v>47</v>
      </c>
      <c r="G156">
        <v>14559</v>
      </c>
      <c r="H156" t="s">
        <v>76</v>
      </c>
      <c r="I156" s="1">
        <v>46007.973668981482</v>
      </c>
      <c r="J156" t="s">
        <v>49</v>
      </c>
      <c r="K156" s="1">
        <v>46008.499895833331</v>
      </c>
      <c r="L156" s="1">
        <v>46008.544710648152</v>
      </c>
      <c r="M156">
        <v>65</v>
      </c>
      <c r="N156" t="s">
        <v>14</v>
      </c>
      <c r="O156" t="s">
        <v>93</v>
      </c>
      <c r="P156" t="s">
        <v>51</v>
      </c>
      <c r="Q156">
        <v>100</v>
      </c>
      <c r="R156" t="s">
        <v>468</v>
      </c>
      <c r="S156" t="s">
        <v>27</v>
      </c>
    </row>
    <row r="157" spans="1:19" x14ac:dyDescent="0.25">
      <c r="A157" t="s">
        <v>14</v>
      </c>
      <c r="B157" t="s">
        <v>572</v>
      </c>
      <c r="C157" t="s">
        <v>527</v>
      </c>
      <c r="D157" t="s">
        <v>573</v>
      </c>
      <c r="E157" t="s">
        <v>574</v>
      </c>
      <c r="F157" t="s">
        <v>47</v>
      </c>
      <c r="G157" s="2" t="s">
        <v>575</v>
      </c>
      <c r="H157" t="s">
        <v>176</v>
      </c>
      <c r="I157" s="1">
        <v>46008.240034722221</v>
      </c>
      <c r="J157" t="s">
        <v>49</v>
      </c>
      <c r="K157" s="1">
        <v>46008.784710648149</v>
      </c>
      <c r="L157" s="1">
        <v>46008.835092592592</v>
      </c>
      <c r="M157">
        <v>73</v>
      </c>
      <c r="N157" t="s">
        <v>14</v>
      </c>
      <c r="O157" t="s">
        <v>225</v>
      </c>
      <c r="P157" t="s">
        <v>300</v>
      </c>
      <c r="Q157">
        <v>400</v>
      </c>
      <c r="R157" t="s">
        <v>52</v>
      </c>
      <c r="S157" t="s">
        <v>27</v>
      </c>
    </row>
    <row r="158" spans="1:19" x14ac:dyDescent="0.25">
      <c r="A158" t="s">
        <v>14</v>
      </c>
      <c r="B158" t="s">
        <v>576</v>
      </c>
      <c r="C158" t="s">
        <v>503</v>
      </c>
      <c r="D158" t="s">
        <v>577</v>
      </c>
      <c r="E158" t="s">
        <v>578</v>
      </c>
      <c r="F158" t="s">
        <v>47</v>
      </c>
      <c r="G158" s="2" t="s">
        <v>579</v>
      </c>
      <c r="H158" t="s">
        <v>70</v>
      </c>
      <c r="I158" s="1">
        <v>46008.308078703703</v>
      </c>
      <c r="J158" t="s">
        <v>49</v>
      </c>
      <c r="K158" s="1">
        <v>46008.500856481478</v>
      </c>
      <c r="L158" s="1">
        <v>46008.544710648152</v>
      </c>
      <c r="M158">
        <v>64</v>
      </c>
      <c r="N158" t="s">
        <v>14</v>
      </c>
      <c r="O158" t="s">
        <v>77</v>
      </c>
      <c r="P158" t="s">
        <v>71</v>
      </c>
      <c r="Q158">
        <v>48000</v>
      </c>
      <c r="R158" t="s">
        <v>113</v>
      </c>
      <c r="S158" t="s">
        <v>27</v>
      </c>
    </row>
    <row r="159" spans="1:19" x14ac:dyDescent="0.25">
      <c r="A159" t="s">
        <v>14</v>
      </c>
      <c r="B159" t="s">
        <v>580</v>
      </c>
      <c r="C159" t="s">
        <v>581</v>
      </c>
      <c r="D159" t="s">
        <v>582</v>
      </c>
      <c r="E159" t="s">
        <v>583</v>
      </c>
      <c r="F159" t="s">
        <v>47</v>
      </c>
      <c r="G159" s="2" t="s">
        <v>584</v>
      </c>
      <c r="H159" t="s">
        <v>70</v>
      </c>
      <c r="I159" s="1">
        <v>46008.324791666666</v>
      </c>
      <c r="J159" t="s">
        <v>49</v>
      </c>
      <c r="K159" s="1">
        <v>46008.794270833336</v>
      </c>
      <c r="L159" s="1">
        <v>46008.799629629626</v>
      </c>
      <c r="M159">
        <v>8</v>
      </c>
      <c r="N159" t="s">
        <v>14</v>
      </c>
      <c r="O159" t="s">
        <v>136</v>
      </c>
      <c r="P159" t="s">
        <v>51</v>
      </c>
      <c r="Q159">
        <v>90</v>
      </c>
      <c r="R159" t="s">
        <v>113</v>
      </c>
      <c r="S159" t="s">
        <v>27</v>
      </c>
    </row>
    <row r="160" spans="1:19" x14ac:dyDescent="0.25">
      <c r="A160" t="s">
        <v>14</v>
      </c>
      <c r="B160" t="s">
        <v>585</v>
      </c>
      <c r="C160" t="s">
        <v>586</v>
      </c>
      <c r="D160" t="s">
        <v>587</v>
      </c>
      <c r="E160" t="s">
        <v>588</v>
      </c>
      <c r="F160" t="s">
        <v>47</v>
      </c>
      <c r="G160" s="2" t="s">
        <v>589</v>
      </c>
      <c r="H160" t="s">
        <v>83</v>
      </c>
      <c r="I160" s="1">
        <v>46008.326782407406</v>
      </c>
      <c r="J160" t="s">
        <v>49</v>
      </c>
      <c r="K160" s="1">
        <v>46008.501956018517</v>
      </c>
      <c r="L160" s="1">
        <v>46008.544733796298</v>
      </c>
      <c r="M160">
        <v>62</v>
      </c>
      <c r="N160" t="s">
        <v>14</v>
      </c>
      <c r="O160" t="s">
        <v>77</v>
      </c>
      <c r="P160" t="s">
        <v>51</v>
      </c>
      <c r="Q160" t="s">
        <v>590</v>
      </c>
      <c r="R160" t="s">
        <v>468</v>
      </c>
      <c r="S160" t="s">
        <v>27</v>
      </c>
    </row>
    <row r="161" spans="1:19" x14ac:dyDescent="0.25">
      <c r="A161" t="s">
        <v>14</v>
      </c>
      <c r="B161" t="s">
        <v>591</v>
      </c>
      <c r="C161" t="s">
        <v>592</v>
      </c>
      <c r="D161" t="s">
        <v>593</v>
      </c>
      <c r="E161" t="s">
        <v>594</v>
      </c>
      <c r="F161" t="s">
        <v>47</v>
      </c>
      <c r="G161">
        <v>12054</v>
      </c>
      <c r="H161" t="s">
        <v>76</v>
      </c>
      <c r="I161" s="1">
        <v>46008.328379629631</v>
      </c>
      <c r="J161" t="s">
        <v>49</v>
      </c>
      <c r="K161" s="1">
        <v>46008.501006944447</v>
      </c>
      <c r="L161" s="1">
        <v>46008.543368055558</v>
      </c>
      <c r="M161">
        <v>61</v>
      </c>
      <c r="N161" t="s">
        <v>14</v>
      </c>
      <c r="O161" t="s">
        <v>77</v>
      </c>
      <c r="P161" t="s">
        <v>51</v>
      </c>
      <c r="Q161">
        <v>0</v>
      </c>
      <c r="R161" t="s">
        <v>52</v>
      </c>
      <c r="S161" t="s">
        <v>27</v>
      </c>
    </row>
    <row r="162" spans="1:19" x14ac:dyDescent="0.25">
      <c r="A162" t="s">
        <v>14</v>
      </c>
      <c r="B162" t="s">
        <v>595</v>
      </c>
      <c r="C162" t="s">
        <v>109</v>
      </c>
      <c r="D162" t="s">
        <v>596</v>
      </c>
      <c r="E162" t="s">
        <v>597</v>
      </c>
      <c r="F162" t="s">
        <v>47</v>
      </c>
      <c r="G162">
        <v>18657</v>
      </c>
      <c r="H162" t="s">
        <v>165</v>
      </c>
      <c r="I162" s="1">
        <v>46008.342430555553</v>
      </c>
      <c r="J162" t="s">
        <v>49</v>
      </c>
      <c r="K162" s="1">
        <v>46008.496747685182</v>
      </c>
      <c r="L162" s="1">
        <v>46008.544756944444</v>
      </c>
      <c r="M162">
        <v>70</v>
      </c>
      <c r="N162" t="s">
        <v>14</v>
      </c>
      <c r="O162" t="s">
        <v>50</v>
      </c>
      <c r="P162" t="s">
        <v>103</v>
      </c>
      <c r="Q162">
        <v>5000</v>
      </c>
      <c r="R162" t="s">
        <v>52</v>
      </c>
      <c r="S162" t="s">
        <v>27</v>
      </c>
    </row>
    <row r="163" spans="1:19" x14ac:dyDescent="0.25">
      <c r="A163" t="s">
        <v>14</v>
      </c>
      <c r="B163" t="s">
        <v>598</v>
      </c>
      <c r="C163" t="s">
        <v>599</v>
      </c>
      <c r="D163" t="s">
        <v>600</v>
      </c>
      <c r="E163" t="s">
        <v>601</v>
      </c>
      <c r="F163" t="s">
        <v>47</v>
      </c>
      <c r="G163">
        <v>48446</v>
      </c>
      <c r="H163" t="s">
        <v>521</v>
      </c>
      <c r="I163" s="1">
        <v>46008.348796296297</v>
      </c>
      <c r="J163" t="s">
        <v>49</v>
      </c>
      <c r="K163" s="1">
        <v>46008.498657407406</v>
      </c>
      <c r="L163" s="1">
        <v>46008.544699074075</v>
      </c>
      <c r="M163">
        <v>67</v>
      </c>
      <c r="N163" t="s">
        <v>14</v>
      </c>
      <c r="O163" t="s">
        <v>77</v>
      </c>
      <c r="P163" t="s">
        <v>51</v>
      </c>
      <c r="Q163">
        <v>10</v>
      </c>
      <c r="R163" t="s">
        <v>113</v>
      </c>
      <c r="S163" t="s">
        <v>27</v>
      </c>
    </row>
    <row r="164" spans="1:19" x14ac:dyDescent="0.25">
      <c r="A164" t="s">
        <v>14</v>
      </c>
      <c r="B164" t="s">
        <v>602</v>
      </c>
      <c r="C164" t="s">
        <v>603</v>
      </c>
      <c r="D164" t="s">
        <v>604</v>
      </c>
      <c r="E164" t="s">
        <v>605</v>
      </c>
      <c r="F164" t="s">
        <v>47</v>
      </c>
      <c r="G164" s="2" t="s">
        <v>606</v>
      </c>
      <c r="H164" t="s">
        <v>83</v>
      </c>
      <c r="I164" s="1">
        <v>46008.353750000002</v>
      </c>
      <c r="J164" t="s">
        <v>49</v>
      </c>
      <c r="K164" s="1">
        <v>46008.498854166668</v>
      </c>
      <c r="L164" s="1">
        <v>46008.499895833331</v>
      </c>
      <c r="M164">
        <v>2</v>
      </c>
      <c r="N164" t="s">
        <v>14</v>
      </c>
      <c r="O164" t="s">
        <v>50</v>
      </c>
      <c r="P164" t="s">
        <v>71</v>
      </c>
      <c r="Q164">
        <v>3500</v>
      </c>
      <c r="R164" t="s">
        <v>52</v>
      </c>
      <c r="S164" t="s">
        <v>27</v>
      </c>
    </row>
    <row r="165" spans="1:19" x14ac:dyDescent="0.25">
      <c r="A165" t="s">
        <v>14</v>
      </c>
      <c r="B165" t="s">
        <v>602</v>
      </c>
      <c r="C165" t="s">
        <v>603</v>
      </c>
      <c r="D165" t="s">
        <v>604</v>
      </c>
      <c r="E165" t="s">
        <v>605</v>
      </c>
      <c r="K165" s="1">
        <v>46008.500937500001</v>
      </c>
      <c r="L165" s="1">
        <v>46008.544537037036</v>
      </c>
      <c r="M165">
        <v>63</v>
      </c>
      <c r="N165" t="s">
        <v>14</v>
      </c>
      <c r="S165" t="s">
        <v>27</v>
      </c>
    </row>
    <row r="166" spans="1:19" x14ac:dyDescent="0.25">
      <c r="A166" t="s">
        <v>14</v>
      </c>
      <c r="B166" t="s">
        <v>607</v>
      </c>
      <c r="C166" t="s">
        <v>296</v>
      </c>
      <c r="D166" t="s">
        <v>608</v>
      </c>
      <c r="E166" t="s">
        <v>609</v>
      </c>
      <c r="F166" t="s">
        <v>610</v>
      </c>
      <c r="G166">
        <v>32948</v>
      </c>
      <c r="H166" t="s">
        <v>136</v>
      </c>
      <c r="I166" s="1">
        <v>46008.366249999999</v>
      </c>
      <c r="J166" t="s">
        <v>49</v>
      </c>
      <c r="K166" s="1">
        <v>46008.498981481483</v>
      </c>
      <c r="L166" s="1">
        <v>46008.544953703706</v>
      </c>
      <c r="M166">
        <v>67</v>
      </c>
      <c r="N166" t="s">
        <v>14</v>
      </c>
      <c r="O166" t="s">
        <v>77</v>
      </c>
      <c r="P166" t="s">
        <v>51</v>
      </c>
      <c r="Q166">
        <v>190</v>
      </c>
      <c r="R166" t="s">
        <v>113</v>
      </c>
      <c r="S166" t="s">
        <v>611</v>
      </c>
    </row>
    <row r="167" spans="1:19" x14ac:dyDescent="0.25">
      <c r="A167" t="s">
        <v>14</v>
      </c>
      <c r="B167" t="s">
        <v>612</v>
      </c>
      <c r="C167" t="s">
        <v>548</v>
      </c>
      <c r="D167" t="s">
        <v>613</v>
      </c>
      <c r="E167" t="s">
        <v>614</v>
      </c>
      <c r="F167" t="s">
        <v>47</v>
      </c>
      <c r="G167">
        <v>13045</v>
      </c>
      <c r="H167" t="s">
        <v>76</v>
      </c>
      <c r="I167" s="1">
        <v>46008.366944444446</v>
      </c>
      <c r="J167" t="s">
        <v>49</v>
      </c>
      <c r="K167" s="1">
        <v>46008.497557870367</v>
      </c>
      <c r="L167" s="1">
        <v>46008.546168981484</v>
      </c>
      <c r="M167">
        <v>70</v>
      </c>
      <c r="N167" t="s">
        <v>14</v>
      </c>
      <c r="O167" t="s">
        <v>50</v>
      </c>
      <c r="P167" t="s">
        <v>51</v>
      </c>
      <c r="Q167">
        <v>37000</v>
      </c>
      <c r="R167" t="s">
        <v>52</v>
      </c>
      <c r="S167" t="s">
        <v>27</v>
      </c>
    </row>
    <row r="168" spans="1:19" x14ac:dyDescent="0.25">
      <c r="A168" t="s">
        <v>14</v>
      </c>
      <c r="B168" t="s">
        <v>615</v>
      </c>
      <c r="C168" t="s">
        <v>616</v>
      </c>
      <c r="D168" t="s">
        <v>617</v>
      </c>
      <c r="E168" t="s">
        <v>618</v>
      </c>
      <c r="F168" t="s">
        <v>47</v>
      </c>
      <c r="G168" s="2" t="s">
        <v>619</v>
      </c>
      <c r="H168" t="s">
        <v>58</v>
      </c>
      <c r="I168" s="1">
        <v>46008.371053240742</v>
      </c>
      <c r="J168" t="s">
        <v>49</v>
      </c>
      <c r="K168" s="1">
        <v>46008.483194444445</v>
      </c>
      <c r="L168" s="1">
        <v>46008.545277777775</v>
      </c>
      <c r="M168">
        <v>90</v>
      </c>
      <c r="N168" t="s">
        <v>14</v>
      </c>
      <c r="O168" t="s">
        <v>50</v>
      </c>
      <c r="P168" t="s">
        <v>59</v>
      </c>
      <c r="Q168">
        <v>2000</v>
      </c>
      <c r="R168" t="s">
        <v>52</v>
      </c>
      <c r="S168" t="s">
        <v>27</v>
      </c>
    </row>
    <row r="169" spans="1:19" x14ac:dyDescent="0.25">
      <c r="A169" t="s">
        <v>14</v>
      </c>
      <c r="B169" t="s">
        <v>620</v>
      </c>
      <c r="C169" t="s">
        <v>292</v>
      </c>
      <c r="D169" t="s">
        <v>621</v>
      </c>
      <c r="E169" t="s">
        <v>622</v>
      </c>
      <c r="F169" t="s">
        <v>47</v>
      </c>
      <c r="G169" s="2" t="s">
        <v>623</v>
      </c>
      <c r="H169" t="s">
        <v>70</v>
      </c>
      <c r="I169" s="1">
        <v>46008.382164351853</v>
      </c>
      <c r="J169" t="s">
        <v>49</v>
      </c>
      <c r="K169" s="1">
        <v>46008.494710648149</v>
      </c>
      <c r="L169" s="1">
        <v>46008.534212962964</v>
      </c>
      <c r="M169">
        <v>57</v>
      </c>
      <c r="N169" t="s">
        <v>14</v>
      </c>
      <c r="O169" t="s">
        <v>50</v>
      </c>
      <c r="P169" t="s">
        <v>71</v>
      </c>
      <c r="Q169" t="s">
        <v>624</v>
      </c>
      <c r="R169" t="s">
        <v>52</v>
      </c>
      <c r="S169" t="s">
        <v>27</v>
      </c>
    </row>
    <row r="170" spans="1:19" x14ac:dyDescent="0.25">
      <c r="A170" t="s">
        <v>14</v>
      </c>
      <c r="B170" t="s">
        <v>625</v>
      </c>
      <c r="C170" t="s">
        <v>626</v>
      </c>
      <c r="D170" t="s">
        <v>627</v>
      </c>
      <c r="E170" t="s">
        <v>628</v>
      </c>
      <c r="F170" t="s">
        <v>47</v>
      </c>
      <c r="G170">
        <v>42156</v>
      </c>
      <c r="H170" t="s">
        <v>478</v>
      </c>
      <c r="I170" s="1">
        <v>46008.387824074074</v>
      </c>
      <c r="J170" t="s">
        <v>49</v>
      </c>
      <c r="K170" s="1">
        <v>46008.498020833336</v>
      </c>
      <c r="L170" s="1">
        <v>46008.529849537037</v>
      </c>
      <c r="M170">
        <v>46</v>
      </c>
      <c r="N170" t="s">
        <v>14</v>
      </c>
      <c r="O170" t="s">
        <v>77</v>
      </c>
      <c r="P170" t="s">
        <v>51</v>
      </c>
      <c r="Q170">
        <v>19000</v>
      </c>
      <c r="R170" t="s">
        <v>52</v>
      </c>
      <c r="S170" t="s">
        <v>27</v>
      </c>
    </row>
    <row r="171" spans="1:19" x14ac:dyDescent="0.25">
      <c r="A171" t="s">
        <v>14</v>
      </c>
      <c r="B171" t="s">
        <v>629</v>
      </c>
      <c r="C171" t="s">
        <v>630</v>
      </c>
      <c r="D171" t="s">
        <v>631</v>
      </c>
      <c r="E171" t="s">
        <v>632</v>
      </c>
      <c r="F171" t="s">
        <v>47</v>
      </c>
      <c r="G171" s="2" t="s">
        <v>633</v>
      </c>
      <c r="H171" t="s">
        <v>70</v>
      </c>
      <c r="I171" s="1">
        <v>46008.402719907404</v>
      </c>
      <c r="J171" t="s">
        <v>49</v>
      </c>
      <c r="K171" s="1">
        <v>46008.500451388885</v>
      </c>
      <c r="L171" s="1">
        <v>46008.544618055559</v>
      </c>
      <c r="M171">
        <v>64</v>
      </c>
      <c r="N171" t="s">
        <v>14</v>
      </c>
      <c r="O171" t="s">
        <v>50</v>
      </c>
      <c r="P171" t="s">
        <v>71</v>
      </c>
      <c r="Q171">
        <v>14000</v>
      </c>
      <c r="R171" t="s">
        <v>52</v>
      </c>
      <c r="S171" t="s">
        <v>27</v>
      </c>
    </row>
    <row r="172" spans="1:19" x14ac:dyDescent="0.25">
      <c r="A172" t="s">
        <v>14</v>
      </c>
      <c r="B172" t="s">
        <v>629</v>
      </c>
      <c r="C172" t="s">
        <v>630</v>
      </c>
      <c r="D172" t="s">
        <v>631</v>
      </c>
      <c r="E172" t="s">
        <v>632</v>
      </c>
      <c r="K172" s="1">
        <v>46008.500486111108</v>
      </c>
      <c r="L172" s="1">
        <v>46008.546365740738</v>
      </c>
      <c r="M172">
        <v>67</v>
      </c>
      <c r="N172" t="s">
        <v>14</v>
      </c>
      <c r="S172" t="s">
        <v>27</v>
      </c>
    </row>
    <row r="173" spans="1:19" x14ac:dyDescent="0.25">
      <c r="A173" t="s">
        <v>14</v>
      </c>
      <c r="B173" t="s">
        <v>634</v>
      </c>
      <c r="C173" t="s">
        <v>330</v>
      </c>
      <c r="D173" t="s">
        <v>635</v>
      </c>
      <c r="E173" t="s">
        <v>636</v>
      </c>
      <c r="F173" t="s">
        <v>47</v>
      </c>
      <c r="G173" s="2" t="s">
        <v>637</v>
      </c>
      <c r="H173" t="s">
        <v>70</v>
      </c>
      <c r="I173" s="1">
        <v>46008.437731481485</v>
      </c>
      <c r="J173" t="s">
        <v>49</v>
      </c>
      <c r="K173" s="1">
        <v>46008.496412037035</v>
      </c>
      <c r="L173" s="1">
        <v>46008.544444444444</v>
      </c>
      <c r="M173">
        <v>70</v>
      </c>
      <c r="N173" t="s">
        <v>14</v>
      </c>
      <c r="O173" t="s">
        <v>50</v>
      </c>
      <c r="P173" t="s">
        <v>71</v>
      </c>
      <c r="Q173">
        <v>5000</v>
      </c>
      <c r="R173" t="s">
        <v>52</v>
      </c>
      <c r="S173" t="s">
        <v>27</v>
      </c>
    </row>
    <row r="174" spans="1:19" x14ac:dyDescent="0.25">
      <c r="A174" t="s">
        <v>14</v>
      </c>
      <c r="B174" t="s">
        <v>638</v>
      </c>
      <c r="C174" t="s">
        <v>185</v>
      </c>
      <c r="D174" t="s">
        <v>639</v>
      </c>
      <c r="E174" t="s">
        <v>640</v>
      </c>
      <c r="F174" t="s">
        <v>47</v>
      </c>
      <c r="G174" t="str">
        <f>"45690-9129"</f>
        <v>45690-9129</v>
      </c>
      <c r="H174" t="s">
        <v>641</v>
      </c>
      <c r="I174" s="1">
        <v>46008.440659722219</v>
      </c>
      <c r="J174" t="s">
        <v>49</v>
      </c>
      <c r="K174" s="1">
        <v>46008.494745370372</v>
      </c>
      <c r="L174" s="1">
        <v>46008.545358796298</v>
      </c>
      <c r="M174">
        <v>73</v>
      </c>
      <c r="N174" t="s">
        <v>14</v>
      </c>
      <c r="O174" t="s">
        <v>50</v>
      </c>
      <c r="P174" t="s">
        <v>103</v>
      </c>
      <c r="Q174">
        <v>3000</v>
      </c>
      <c r="R174" t="s">
        <v>52</v>
      </c>
      <c r="S174" t="s">
        <v>27</v>
      </c>
    </row>
    <row r="175" spans="1:19" x14ac:dyDescent="0.25">
      <c r="A175" t="s">
        <v>14</v>
      </c>
      <c r="B175" t="s">
        <v>642</v>
      </c>
      <c r="C175" t="s">
        <v>296</v>
      </c>
      <c r="D175" t="s">
        <v>643</v>
      </c>
      <c r="E175" t="s">
        <v>644</v>
      </c>
      <c r="F175" t="s">
        <v>47</v>
      </c>
      <c r="G175">
        <v>97330</v>
      </c>
      <c r="H175" t="s">
        <v>454</v>
      </c>
      <c r="I175" s="1">
        <v>46008.483842592592</v>
      </c>
      <c r="J175" t="s">
        <v>49</v>
      </c>
      <c r="K175" s="1">
        <v>46008.499583333331</v>
      </c>
      <c r="L175" s="1">
        <v>46008.546157407407</v>
      </c>
      <c r="M175">
        <v>68</v>
      </c>
      <c r="N175" t="s">
        <v>14</v>
      </c>
      <c r="O175" t="s">
        <v>156</v>
      </c>
      <c r="P175" t="s">
        <v>51</v>
      </c>
      <c r="Q175">
        <v>0</v>
      </c>
      <c r="R175" t="s">
        <v>468</v>
      </c>
      <c r="S175" t="s">
        <v>27</v>
      </c>
    </row>
    <row r="176" spans="1:19" x14ac:dyDescent="0.25">
      <c r="A176" t="s">
        <v>14</v>
      </c>
      <c r="B176" t="s">
        <v>645</v>
      </c>
      <c r="C176" t="s">
        <v>109</v>
      </c>
      <c r="D176" t="s">
        <v>646</v>
      </c>
      <c r="E176" t="s">
        <v>647</v>
      </c>
      <c r="F176" t="s">
        <v>47</v>
      </c>
      <c r="G176" s="2" t="s">
        <v>648</v>
      </c>
      <c r="H176" t="s">
        <v>83</v>
      </c>
      <c r="I176" s="1">
        <v>46008.484826388885</v>
      </c>
      <c r="J176" t="s">
        <v>49</v>
      </c>
      <c r="K176" s="1">
        <v>46008.485011574077</v>
      </c>
      <c r="L176" s="1">
        <v>46008.544814814813</v>
      </c>
      <c r="M176">
        <v>87</v>
      </c>
      <c r="N176" t="s">
        <v>14</v>
      </c>
      <c r="O176" t="s">
        <v>50</v>
      </c>
      <c r="P176" t="s">
        <v>59</v>
      </c>
      <c r="Q176">
        <v>5000</v>
      </c>
      <c r="R176" t="s">
        <v>52</v>
      </c>
      <c r="S176" t="s">
        <v>27</v>
      </c>
    </row>
    <row r="177" spans="1:19" x14ac:dyDescent="0.25">
      <c r="A177" t="s">
        <v>14</v>
      </c>
      <c r="B177" t="s">
        <v>649</v>
      </c>
      <c r="C177" t="s">
        <v>650</v>
      </c>
      <c r="D177" t="s">
        <v>651</v>
      </c>
      <c r="E177" t="s">
        <v>652</v>
      </c>
      <c r="F177" t="s">
        <v>47</v>
      </c>
      <c r="G177">
        <v>21561</v>
      </c>
      <c r="H177" t="s">
        <v>64</v>
      </c>
      <c r="I177" s="1">
        <v>46008.484826388885</v>
      </c>
      <c r="J177" t="s">
        <v>49</v>
      </c>
      <c r="K177" s="1">
        <v>46008.485578703701</v>
      </c>
      <c r="L177" s="1">
        <v>46008.491909722223</v>
      </c>
      <c r="M177">
        <v>10</v>
      </c>
      <c r="N177" t="s">
        <v>14</v>
      </c>
      <c r="O177" t="s">
        <v>50</v>
      </c>
      <c r="P177" t="s">
        <v>59</v>
      </c>
      <c r="Q177">
        <v>100</v>
      </c>
      <c r="R177" t="s">
        <v>52</v>
      </c>
      <c r="S177" t="s">
        <v>27</v>
      </c>
    </row>
    <row r="178" spans="1:19" x14ac:dyDescent="0.25">
      <c r="A178" t="s">
        <v>14</v>
      </c>
      <c r="B178" t="s">
        <v>653</v>
      </c>
      <c r="C178" t="s">
        <v>213</v>
      </c>
      <c r="D178" t="s">
        <v>654</v>
      </c>
      <c r="E178" t="s">
        <v>655</v>
      </c>
      <c r="F178" t="s">
        <v>47</v>
      </c>
      <c r="G178" s="2" t="s">
        <v>656</v>
      </c>
      <c r="H178" t="s">
        <v>83</v>
      </c>
      <c r="I178" s="1">
        <v>46008.487962962965</v>
      </c>
      <c r="J178" t="s">
        <v>49</v>
      </c>
      <c r="K178" s="1">
        <v>46008.489351851851</v>
      </c>
      <c r="L178" s="1">
        <v>46008.496493055558</v>
      </c>
      <c r="M178">
        <v>11</v>
      </c>
      <c r="N178" t="s">
        <v>14</v>
      </c>
      <c r="O178" t="s">
        <v>99</v>
      </c>
      <c r="P178" t="s">
        <v>59</v>
      </c>
      <c r="Q178">
        <v>500</v>
      </c>
      <c r="R178" t="s">
        <v>113</v>
      </c>
      <c r="S178" t="s">
        <v>27</v>
      </c>
    </row>
    <row r="179" spans="1:19" x14ac:dyDescent="0.25">
      <c r="A179" t="s">
        <v>14</v>
      </c>
      <c r="B179" t="s">
        <v>653</v>
      </c>
      <c r="C179" t="s">
        <v>213</v>
      </c>
      <c r="D179" t="s">
        <v>654</v>
      </c>
      <c r="E179" t="s">
        <v>655</v>
      </c>
      <c r="K179" s="1">
        <v>46008.496504629627</v>
      </c>
      <c r="L179" s="1">
        <v>46008.544907407406</v>
      </c>
      <c r="M179">
        <v>70</v>
      </c>
      <c r="N179" t="s">
        <v>14</v>
      </c>
      <c r="S179" t="s">
        <v>27</v>
      </c>
    </row>
    <row r="180" spans="1:19" x14ac:dyDescent="0.25">
      <c r="A180" t="s">
        <v>14</v>
      </c>
      <c r="B180" t="s">
        <v>657</v>
      </c>
      <c r="C180" t="s">
        <v>296</v>
      </c>
      <c r="D180" t="s">
        <v>658</v>
      </c>
      <c r="E180" t="s">
        <v>659</v>
      </c>
      <c r="F180" t="s">
        <v>47</v>
      </c>
      <c r="G180">
        <v>37826</v>
      </c>
      <c r="H180" t="s">
        <v>660</v>
      </c>
      <c r="I180" s="1">
        <v>46008.492106481484</v>
      </c>
      <c r="J180" t="s">
        <v>49</v>
      </c>
      <c r="K180" s="1">
        <v>46008.492245370369</v>
      </c>
      <c r="L180" s="1">
        <v>46008.54478009259</v>
      </c>
      <c r="M180">
        <v>76</v>
      </c>
      <c r="N180" t="s">
        <v>14</v>
      </c>
      <c r="O180" t="s">
        <v>50</v>
      </c>
      <c r="P180" t="s">
        <v>103</v>
      </c>
      <c r="Q180">
        <v>35</v>
      </c>
      <c r="R180" t="s">
        <v>52</v>
      </c>
      <c r="S180" t="s">
        <v>27</v>
      </c>
    </row>
    <row r="181" spans="1:19" x14ac:dyDescent="0.25">
      <c r="A181" t="s">
        <v>14</v>
      </c>
      <c r="B181" t="s">
        <v>661</v>
      </c>
      <c r="C181" t="s">
        <v>662</v>
      </c>
      <c r="D181" t="s">
        <v>663</v>
      </c>
      <c r="E181" t="s">
        <v>664</v>
      </c>
      <c r="F181" t="s">
        <v>47</v>
      </c>
      <c r="G181">
        <v>45230</v>
      </c>
      <c r="H181" t="s">
        <v>641</v>
      </c>
      <c r="I181" s="1">
        <v>46008.49324074074</v>
      </c>
      <c r="J181" t="s">
        <v>49</v>
      </c>
      <c r="K181" s="1">
        <v>46008.493506944447</v>
      </c>
      <c r="L181" s="1">
        <v>46008.54277777778</v>
      </c>
      <c r="M181">
        <v>71</v>
      </c>
      <c r="N181" t="s">
        <v>14</v>
      </c>
      <c r="O181" t="s">
        <v>50</v>
      </c>
      <c r="P181" t="s">
        <v>103</v>
      </c>
      <c r="Q181" t="s">
        <v>665</v>
      </c>
      <c r="R181" t="s">
        <v>52</v>
      </c>
      <c r="S181" t="s">
        <v>27</v>
      </c>
    </row>
    <row r="182" spans="1:19" x14ac:dyDescent="0.25">
      <c r="A182" t="s">
        <v>14</v>
      </c>
      <c r="B182" t="s">
        <v>666</v>
      </c>
      <c r="C182" t="s">
        <v>667</v>
      </c>
      <c r="D182" t="s">
        <v>668</v>
      </c>
      <c r="E182" t="s">
        <v>669</v>
      </c>
      <c r="F182" t="s">
        <v>47</v>
      </c>
      <c r="G182">
        <v>40391</v>
      </c>
      <c r="H182" t="s">
        <v>478</v>
      </c>
      <c r="I182" s="1">
        <v>46008.49359953704</v>
      </c>
      <c r="J182" t="s">
        <v>49</v>
      </c>
      <c r="K182" s="1">
        <v>46008.493935185186</v>
      </c>
      <c r="L182" s="1">
        <v>46008.544756944444</v>
      </c>
      <c r="M182">
        <v>74</v>
      </c>
      <c r="N182" t="s">
        <v>14</v>
      </c>
      <c r="O182" t="s">
        <v>77</v>
      </c>
      <c r="P182" t="s">
        <v>51</v>
      </c>
      <c r="Q182">
        <v>2000</v>
      </c>
      <c r="R182" t="s">
        <v>52</v>
      </c>
      <c r="S182" t="s">
        <v>27</v>
      </c>
    </row>
    <row r="183" spans="1:19" x14ac:dyDescent="0.25">
      <c r="A183" t="s">
        <v>14</v>
      </c>
      <c r="B183" t="s">
        <v>670</v>
      </c>
      <c r="C183" t="s">
        <v>235</v>
      </c>
      <c r="D183" t="s">
        <v>671</v>
      </c>
      <c r="E183" t="s">
        <v>672</v>
      </c>
      <c r="F183" t="s">
        <v>47</v>
      </c>
      <c r="G183" s="2" t="s">
        <v>673</v>
      </c>
      <c r="H183" t="s">
        <v>70</v>
      </c>
      <c r="I183" s="1">
        <v>46008.494421296295</v>
      </c>
      <c r="J183" t="s">
        <v>49</v>
      </c>
      <c r="K183" s="1">
        <v>46008.494537037041</v>
      </c>
      <c r="L183" s="1">
        <v>46008.556898148148</v>
      </c>
      <c r="M183">
        <v>90</v>
      </c>
      <c r="N183" t="s">
        <v>14</v>
      </c>
      <c r="O183" t="s">
        <v>50</v>
      </c>
      <c r="P183" t="s">
        <v>59</v>
      </c>
      <c r="Q183">
        <v>5000</v>
      </c>
      <c r="R183" t="s">
        <v>113</v>
      </c>
      <c r="S183" t="s">
        <v>27</v>
      </c>
    </row>
    <row r="184" spans="1:19" x14ac:dyDescent="0.25">
      <c r="A184" t="s">
        <v>14</v>
      </c>
      <c r="B184" t="s">
        <v>674</v>
      </c>
      <c r="C184" t="s">
        <v>499</v>
      </c>
      <c r="D184" t="s">
        <v>604</v>
      </c>
      <c r="E184" t="s">
        <v>675</v>
      </c>
      <c r="F184" t="s">
        <v>47</v>
      </c>
      <c r="G184">
        <v>49677</v>
      </c>
      <c r="H184" t="s">
        <v>521</v>
      </c>
      <c r="I184" s="1">
        <v>46008.494513888887</v>
      </c>
      <c r="J184" t="s">
        <v>49</v>
      </c>
      <c r="K184" s="1">
        <v>46008.494826388887</v>
      </c>
      <c r="L184" s="1">
        <v>46008.544641203705</v>
      </c>
      <c r="M184">
        <v>72</v>
      </c>
      <c r="N184" t="s">
        <v>14</v>
      </c>
      <c r="O184" t="s">
        <v>77</v>
      </c>
      <c r="P184" t="s">
        <v>51</v>
      </c>
      <c r="Q184">
        <v>160</v>
      </c>
      <c r="R184" t="s">
        <v>113</v>
      </c>
      <c r="S184" t="s">
        <v>27</v>
      </c>
    </row>
    <row r="185" spans="1:19" x14ac:dyDescent="0.25">
      <c r="A185" t="s">
        <v>14</v>
      </c>
      <c r="B185" t="s">
        <v>676</v>
      </c>
      <c r="C185" t="s">
        <v>677</v>
      </c>
      <c r="D185" t="s">
        <v>678</v>
      </c>
      <c r="E185" t="s">
        <v>679</v>
      </c>
      <c r="F185" t="s">
        <v>47</v>
      </c>
      <c r="G185" s="2" t="s">
        <v>680</v>
      </c>
      <c r="H185" t="s">
        <v>176</v>
      </c>
      <c r="I185" s="1">
        <v>46008.496701388889</v>
      </c>
      <c r="J185" t="s">
        <v>49</v>
      </c>
      <c r="K185" s="1">
        <v>46008.496932870374</v>
      </c>
      <c r="L185" s="1">
        <v>46008.49795138889</v>
      </c>
      <c r="M185">
        <v>2</v>
      </c>
      <c r="N185" t="s">
        <v>14</v>
      </c>
      <c r="O185" t="s">
        <v>50</v>
      </c>
      <c r="P185" t="s">
        <v>103</v>
      </c>
      <c r="Q185">
        <v>10000</v>
      </c>
      <c r="R185" t="s">
        <v>52</v>
      </c>
      <c r="S185" t="s">
        <v>27</v>
      </c>
    </row>
    <row r="186" spans="1:19" x14ac:dyDescent="0.25">
      <c r="A186" t="s">
        <v>14</v>
      </c>
      <c r="B186" t="s">
        <v>676</v>
      </c>
      <c r="C186" t="s">
        <v>677</v>
      </c>
      <c r="D186" t="s">
        <v>678</v>
      </c>
      <c r="E186" t="s">
        <v>679</v>
      </c>
      <c r="K186" s="1">
        <v>46008.499409722222</v>
      </c>
      <c r="L186" s="1">
        <v>46008.544560185182</v>
      </c>
      <c r="M186">
        <v>66</v>
      </c>
      <c r="N186" t="s">
        <v>14</v>
      </c>
      <c r="S186" t="s">
        <v>27</v>
      </c>
    </row>
    <row r="187" spans="1:19" x14ac:dyDescent="0.25">
      <c r="A187" t="s">
        <v>14</v>
      </c>
      <c r="B187" t="s">
        <v>681</v>
      </c>
      <c r="C187" t="s">
        <v>235</v>
      </c>
      <c r="D187" t="s">
        <v>682</v>
      </c>
      <c r="E187" t="s">
        <v>683</v>
      </c>
      <c r="F187" t="s">
        <v>47</v>
      </c>
      <c r="G187" s="2" t="s">
        <v>684</v>
      </c>
      <c r="H187" t="s">
        <v>58</v>
      </c>
      <c r="I187" s="1">
        <v>46008.497557870367</v>
      </c>
      <c r="J187" t="s">
        <v>49</v>
      </c>
      <c r="K187" s="1">
        <v>46008.497650462959</v>
      </c>
      <c r="L187" s="1">
        <v>46008.54483796296</v>
      </c>
      <c r="M187">
        <v>68</v>
      </c>
      <c r="N187" t="s">
        <v>14</v>
      </c>
      <c r="O187" t="s">
        <v>88</v>
      </c>
      <c r="P187" t="s">
        <v>51</v>
      </c>
      <c r="Q187">
        <v>75</v>
      </c>
      <c r="R187" t="s">
        <v>52</v>
      </c>
      <c r="S187" t="s">
        <v>27</v>
      </c>
    </row>
    <row r="188" spans="1:19" x14ac:dyDescent="0.25">
      <c r="A188" t="s">
        <v>14</v>
      </c>
      <c r="B188" t="s">
        <v>685</v>
      </c>
      <c r="C188" t="s">
        <v>527</v>
      </c>
      <c r="D188" t="s">
        <v>686</v>
      </c>
      <c r="E188" t="s">
        <v>687</v>
      </c>
      <c r="F188" t="s">
        <v>47</v>
      </c>
      <c r="G188">
        <v>13348</v>
      </c>
      <c r="H188" t="s">
        <v>76</v>
      </c>
      <c r="I188" s="1">
        <v>46008.49800925926</v>
      </c>
      <c r="J188" t="s">
        <v>49</v>
      </c>
      <c r="K188" s="1">
        <v>46008.498564814814</v>
      </c>
      <c r="L188" s="1">
        <v>46008.544629629629</v>
      </c>
      <c r="M188">
        <v>67</v>
      </c>
      <c r="N188" t="s">
        <v>14</v>
      </c>
      <c r="O188" t="s">
        <v>88</v>
      </c>
      <c r="P188" t="s">
        <v>51</v>
      </c>
      <c r="Q188">
        <v>31</v>
      </c>
      <c r="R188" t="s">
        <v>52</v>
      </c>
      <c r="S188" t="s">
        <v>27</v>
      </c>
    </row>
    <row r="189" spans="1:19" x14ac:dyDescent="0.25">
      <c r="A189" t="s">
        <v>14</v>
      </c>
      <c r="B189" t="s">
        <v>688</v>
      </c>
      <c r="C189" t="s">
        <v>689</v>
      </c>
      <c r="D189" t="s">
        <v>690</v>
      </c>
      <c r="E189" t="s">
        <v>691</v>
      </c>
      <c r="F189" t="s">
        <v>47</v>
      </c>
      <c r="G189">
        <v>13215</v>
      </c>
      <c r="H189" t="s">
        <v>76</v>
      </c>
      <c r="I189" s="1">
        <v>46008.498981481483</v>
      </c>
      <c r="J189" t="s">
        <v>49</v>
      </c>
      <c r="K189" s="1">
        <v>46008.499293981484</v>
      </c>
      <c r="L189" s="1">
        <v>46008.54277777778</v>
      </c>
      <c r="M189">
        <v>63</v>
      </c>
      <c r="N189" t="s">
        <v>14</v>
      </c>
      <c r="O189" t="s">
        <v>50</v>
      </c>
      <c r="P189" t="s">
        <v>103</v>
      </c>
      <c r="Q189">
        <v>250</v>
      </c>
      <c r="R189" t="s">
        <v>52</v>
      </c>
      <c r="S189" t="s">
        <v>27</v>
      </c>
    </row>
    <row r="190" spans="1:19" x14ac:dyDescent="0.25">
      <c r="A190" t="s">
        <v>14</v>
      </c>
      <c r="B190" t="s">
        <v>692</v>
      </c>
      <c r="C190" t="s">
        <v>693</v>
      </c>
      <c r="D190" t="s">
        <v>694</v>
      </c>
      <c r="E190" t="s">
        <v>695</v>
      </c>
      <c r="F190" t="s">
        <v>47</v>
      </c>
      <c r="G190">
        <v>13152</v>
      </c>
      <c r="H190" t="s">
        <v>76</v>
      </c>
      <c r="I190" s="1">
        <v>46008.499212962961</v>
      </c>
      <c r="J190" t="s">
        <v>49</v>
      </c>
      <c r="K190" s="1">
        <v>46008.499363425923</v>
      </c>
      <c r="L190" s="1">
        <v>46008.544699074075</v>
      </c>
      <c r="M190">
        <v>66</v>
      </c>
      <c r="N190" t="s">
        <v>14</v>
      </c>
      <c r="O190" t="s">
        <v>77</v>
      </c>
      <c r="P190" t="s">
        <v>51</v>
      </c>
      <c r="Q190" t="s">
        <v>696</v>
      </c>
      <c r="R190" t="s">
        <v>52</v>
      </c>
      <c r="S190" t="s">
        <v>27</v>
      </c>
    </row>
    <row r="191" spans="1:19" x14ac:dyDescent="0.25">
      <c r="A191" t="s">
        <v>14</v>
      </c>
      <c r="B191" t="s">
        <v>697</v>
      </c>
      <c r="C191" t="s">
        <v>105</v>
      </c>
      <c r="D191" t="s">
        <v>248</v>
      </c>
      <c r="E191" t="s">
        <v>698</v>
      </c>
      <c r="F191" t="s">
        <v>47</v>
      </c>
      <c r="G191" s="2" t="s">
        <v>699</v>
      </c>
      <c r="H191" t="s">
        <v>70</v>
      </c>
      <c r="I191" s="1">
        <v>46008.499386574076</v>
      </c>
      <c r="J191" t="s">
        <v>49</v>
      </c>
      <c r="K191" s="1">
        <v>46008.499548611115</v>
      </c>
      <c r="L191" s="1">
        <v>46008.545243055552</v>
      </c>
      <c r="M191">
        <v>66</v>
      </c>
      <c r="N191" t="s">
        <v>14</v>
      </c>
      <c r="O191" t="s">
        <v>50</v>
      </c>
      <c r="P191" t="s">
        <v>71</v>
      </c>
      <c r="Q191">
        <v>250</v>
      </c>
      <c r="R191" t="s">
        <v>52</v>
      </c>
      <c r="S191" t="s">
        <v>27</v>
      </c>
    </row>
    <row r="192" spans="1:19" x14ac:dyDescent="0.25">
      <c r="A192" t="s">
        <v>14</v>
      </c>
      <c r="B192" t="s">
        <v>700</v>
      </c>
      <c r="C192" t="s">
        <v>499</v>
      </c>
      <c r="D192" t="s">
        <v>701</v>
      </c>
      <c r="E192" t="s">
        <v>702</v>
      </c>
      <c r="F192" t="s">
        <v>47</v>
      </c>
      <c r="G192">
        <v>14850</v>
      </c>
      <c r="H192" t="s">
        <v>76</v>
      </c>
      <c r="I192" s="1">
        <v>46008.501157407409</v>
      </c>
      <c r="J192" t="s">
        <v>49</v>
      </c>
      <c r="K192" s="1">
        <v>46008.501273148147</v>
      </c>
      <c r="L192" s="1">
        <v>46008.544282407405</v>
      </c>
      <c r="M192">
        <v>62</v>
      </c>
      <c r="N192" t="s">
        <v>14</v>
      </c>
      <c r="O192" t="s">
        <v>77</v>
      </c>
      <c r="P192" t="s">
        <v>51</v>
      </c>
      <c r="Q192">
        <v>30</v>
      </c>
      <c r="R192" t="s">
        <v>113</v>
      </c>
      <c r="S192" t="s">
        <v>27</v>
      </c>
    </row>
    <row r="193" spans="1:19" x14ac:dyDescent="0.25">
      <c r="A193" t="s">
        <v>14</v>
      </c>
      <c r="B193" t="s">
        <v>703</v>
      </c>
      <c r="C193" t="s">
        <v>704</v>
      </c>
      <c r="D193" t="s">
        <v>704</v>
      </c>
      <c r="E193" t="s">
        <v>705</v>
      </c>
      <c r="F193" t="s">
        <v>47</v>
      </c>
      <c r="G193" s="2" t="s">
        <v>706</v>
      </c>
      <c r="H193" t="s">
        <v>170</v>
      </c>
      <c r="I193" s="1">
        <v>46008.501238425924</v>
      </c>
      <c r="J193" t="s">
        <v>49</v>
      </c>
      <c r="K193" s="1">
        <v>46008.501423611109</v>
      </c>
      <c r="L193" s="1">
        <v>46008.544699074075</v>
      </c>
      <c r="M193">
        <v>63</v>
      </c>
      <c r="N193" t="s">
        <v>14</v>
      </c>
      <c r="O193" t="s">
        <v>93</v>
      </c>
      <c r="P193" t="s">
        <v>136</v>
      </c>
      <c r="Q193">
        <v>1000</v>
      </c>
      <c r="R193" t="s">
        <v>52</v>
      </c>
      <c r="S193" t="s">
        <v>27</v>
      </c>
    </row>
    <row r="194" spans="1:19" x14ac:dyDescent="0.25">
      <c r="A194" t="s">
        <v>14</v>
      </c>
      <c r="B194" t="s">
        <v>707</v>
      </c>
      <c r="C194" t="s">
        <v>704</v>
      </c>
      <c r="D194" t="s">
        <v>704</v>
      </c>
      <c r="E194" t="s">
        <v>705</v>
      </c>
      <c r="K194" s="1">
        <v>46008.504965277774</v>
      </c>
      <c r="L194" s="1">
        <v>46008.544606481482</v>
      </c>
      <c r="M194">
        <v>58</v>
      </c>
      <c r="N194" t="s">
        <v>14</v>
      </c>
      <c r="S194" t="s">
        <v>27</v>
      </c>
    </row>
    <row r="195" spans="1:19" x14ac:dyDescent="0.25">
      <c r="A195" t="s">
        <v>14</v>
      </c>
      <c r="B195" t="s">
        <v>708</v>
      </c>
      <c r="C195" t="s">
        <v>709</v>
      </c>
      <c r="D195" t="s">
        <v>710</v>
      </c>
      <c r="E195" t="s">
        <v>711</v>
      </c>
      <c r="F195" t="s">
        <v>47</v>
      </c>
      <c r="G195">
        <v>12567</v>
      </c>
      <c r="H195" t="s">
        <v>76</v>
      </c>
      <c r="I195" s="1">
        <v>46008.501909722225</v>
      </c>
      <c r="J195" t="s">
        <v>49</v>
      </c>
      <c r="K195" s="1">
        <v>46008.502141203702</v>
      </c>
      <c r="L195" s="1">
        <v>46008.544699074075</v>
      </c>
      <c r="M195">
        <v>62</v>
      </c>
      <c r="N195" t="s">
        <v>14</v>
      </c>
      <c r="O195" t="s">
        <v>50</v>
      </c>
      <c r="P195" t="s">
        <v>103</v>
      </c>
      <c r="Q195">
        <v>1</v>
      </c>
      <c r="R195" t="s">
        <v>113</v>
      </c>
      <c r="S195" t="s">
        <v>27</v>
      </c>
    </row>
    <row r="196" spans="1:19" x14ac:dyDescent="0.25">
      <c r="A196" t="s">
        <v>14</v>
      </c>
      <c r="B196" t="s">
        <v>712</v>
      </c>
      <c r="C196" t="s">
        <v>235</v>
      </c>
      <c r="D196" t="s">
        <v>713</v>
      </c>
      <c r="E196" t="s">
        <v>714</v>
      </c>
      <c r="F196" t="s">
        <v>47</v>
      </c>
      <c r="G196">
        <v>17814</v>
      </c>
      <c r="H196" t="s">
        <v>165</v>
      </c>
      <c r="I196" s="1">
        <v>46008.50372685185</v>
      </c>
      <c r="J196" t="s">
        <v>49</v>
      </c>
      <c r="K196" s="1">
        <v>46008.503900462965</v>
      </c>
      <c r="L196" s="1">
        <v>46008.536666666667</v>
      </c>
      <c r="M196">
        <v>48</v>
      </c>
      <c r="N196" t="s">
        <v>14</v>
      </c>
      <c r="O196" t="s">
        <v>93</v>
      </c>
      <c r="P196" t="s">
        <v>51</v>
      </c>
      <c r="Q196">
        <v>500</v>
      </c>
      <c r="R196" t="s">
        <v>52</v>
      </c>
      <c r="S196" t="s">
        <v>27</v>
      </c>
    </row>
    <row r="197" spans="1:19" x14ac:dyDescent="0.25">
      <c r="A197" t="s">
        <v>14</v>
      </c>
      <c r="B197" t="s">
        <v>715</v>
      </c>
      <c r="C197" t="s">
        <v>716</v>
      </c>
      <c r="D197" t="s">
        <v>717</v>
      </c>
      <c r="E197" t="s">
        <v>718</v>
      </c>
      <c r="F197" t="s">
        <v>47</v>
      </c>
      <c r="G197" s="2" t="s">
        <v>534</v>
      </c>
      <c r="H197" t="s">
        <v>83</v>
      </c>
      <c r="I197" s="1">
        <v>46008.50681712963</v>
      </c>
      <c r="J197" t="s">
        <v>49</v>
      </c>
      <c r="K197" s="1">
        <v>46008.507210648146</v>
      </c>
      <c r="L197" s="1">
        <v>46008.532199074078</v>
      </c>
      <c r="M197">
        <v>36</v>
      </c>
      <c r="N197" t="s">
        <v>14</v>
      </c>
      <c r="O197" t="s">
        <v>77</v>
      </c>
      <c r="P197" t="s">
        <v>51</v>
      </c>
      <c r="Q197">
        <v>0</v>
      </c>
      <c r="R197" t="s">
        <v>113</v>
      </c>
      <c r="S197" t="s">
        <v>27</v>
      </c>
    </row>
    <row r="198" spans="1:19" x14ac:dyDescent="0.25">
      <c r="A198" t="s">
        <v>14</v>
      </c>
      <c r="B198" t="s">
        <v>719</v>
      </c>
      <c r="C198" t="s">
        <v>720</v>
      </c>
      <c r="D198" t="s">
        <v>721</v>
      </c>
      <c r="E198" t="s">
        <v>722</v>
      </c>
      <c r="F198" t="s">
        <v>47</v>
      </c>
      <c r="G198">
        <v>12060</v>
      </c>
      <c r="H198" t="s">
        <v>76</v>
      </c>
      <c r="I198" s="1">
        <v>46008.507951388892</v>
      </c>
      <c r="J198" t="s">
        <v>49</v>
      </c>
      <c r="K198" s="1">
        <v>46008.5080787037</v>
      </c>
      <c r="L198" s="1">
        <v>46008.544282407405</v>
      </c>
      <c r="M198">
        <v>53</v>
      </c>
      <c r="N198" t="s">
        <v>14</v>
      </c>
      <c r="O198" t="s">
        <v>136</v>
      </c>
      <c r="P198" t="s">
        <v>216</v>
      </c>
      <c r="Q198">
        <v>15</v>
      </c>
      <c r="R198" t="s">
        <v>52</v>
      </c>
      <c r="S198" t="s">
        <v>27</v>
      </c>
    </row>
    <row r="199" spans="1:19" x14ac:dyDescent="0.25">
      <c r="A199" t="s">
        <v>14</v>
      </c>
      <c r="B199" t="s">
        <v>723</v>
      </c>
      <c r="C199" t="s">
        <v>724</v>
      </c>
      <c r="D199" t="s">
        <v>725</v>
      </c>
      <c r="E199" t="s">
        <v>726</v>
      </c>
      <c r="F199" t="s">
        <v>47</v>
      </c>
      <c r="G199">
        <v>12540</v>
      </c>
      <c r="H199" t="s">
        <v>76</v>
      </c>
      <c r="I199" s="1">
        <v>46008.522048611114</v>
      </c>
      <c r="J199" t="s">
        <v>49</v>
      </c>
      <c r="K199" s="1">
        <v>46008.522233796299</v>
      </c>
      <c r="L199" s="1">
        <v>46008.544756944444</v>
      </c>
      <c r="M199">
        <v>33</v>
      </c>
      <c r="N199" t="s">
        <v>14</v>
      </c>
      <c r="O199" t="s">
        <v>177</v>
      </c>
      <c r="P199" t="s">
        <v>103</v>
      </c>
      <c r="Q199">
        <v>1</v>
      </c>
      <c r="R199" t="s">
        <v>113</v>
      </c>
      <c r="S199" t="s">
        <v>27</v>
      </c>
    </row>
    <row r="200" spans="1:19" x14ac:dyDescent="0.25">
      <c r="A200" t="s">
        <v>14</v>
      </c>
      <c r="B200" t="s">
        <v>727</v>
      </c>
      <c r="C200" t="s">
        <v>728</v>
      </c>
      <c r="D200" t="s">
        <v>729</v>
      </c>
      <c r="E200" t="s">
        <v>730</v>
      </c>
      <c r="F200" t="s">
        <v>731</v>
      </c>
      <c r="G200">
        <v>53705</v>
      </c>
      <c r="H200" t="s">
        <v>136</v>
      </c>
      <c r="I200" s="1">
        <v>46008.585300925923</v>
      </c>
      <c r="J200" t="s">
        <v>49</v>
      </c>
      <c r="K200" s="1">
        <v>46008.585636574076</v>
      </c>
      <c r="L200" s="1">
        <v>46008.5859837963</v>
      </c>
      <c r="M200">
        <v>1</v>
      </c>
      <c r="N200" t="s">
        <v>14</v>
      </c>
      <c r="O200" t="s">
        <v>77</v>
      </c>
      <c r="P200" t="s">
        <v>51</v>
      </c>
      <c r="Q200">
        <v>60</v>
      </c>
      <c r="R200" t="s">
        <v>113</v>
      </c>
      <c r="S200" t="s">
        <v>732</v>
      </c>
    </row>
    <row r="201" spans="1:19" x14ac:dyDescent="0.25">
      <c r="A201" t="s">
        <v>14</v>
      </c>
      <c r="B201" t="s">
        <v>727</v>
      </c>
      <c r="C201" t="s">
        <v>728</v>
      </c>
      <c r="D201" t="s">
        <v>729</v>
      </c>
      <c r="E201" t="s">
        <v>730</v>
      </c>
      <c r="K201" s="1">
        <v>46008.586585648147</v>
      </c>
      <c r="L201" s="1">
        <v>46008.586921296293</v>
      </c>
      <c r="M201">
        <v>1</v>
      </c>
      <c r="N201" t="s">
        <v>14</v>
      </c>
      <c r="S201" t="s">
        <v>732</v>
      </c>
    </row>
    <row r="202" spans="1:19" x14ac:dyDescent="0.25">
      <c r="A202" t="s">
        <v>14</v>
      </c>
      <c r="B202" t="s">
        <v>733</v>
      </c>
      <c r="C202" t="s">
        <v>417</v>
      </c>
      <c r="D202" t="s">
        <v>734</v>
      </c>
      <c r="E202" t="s">
        <v>735</v>
      </c>
      <c r="F202" t="s">
        <v>47</v>
      </c>
      <c r="G202" s="2" t="s">
        <v>736</v>
      </c>
      <c r="H202" t="s">
        <v>58</v>
      </c>
      <c r="I202" s="1">
        <v>46008.773981481485</v>
      </c>
      <c r="J202" t="s">
        <v>49</v>
      </c>
      <c r="K202" s="1">
        <v>46008.774328703701</v>
      </c>
      <c r="L202" s="1">
        <v>46008.835092592592</v>
      </c>
      <c r="M202">
        <v>88</v>
      </c>
      <c r="N202" t="s">
        <v>14</v>
      </c>
      <c r="O202" t="s">
        <v>88</v>
      </c>
      <c r="P202" t="s">
        <v>51</v>
      </c>
      <c r="Q202">
        <v>30</v>
      </c>
      <c r="R202" t="s">
        <v>113</v>
      </c>
      <c r="S202" t="s">
        <v>27</v>
      </c>
    </row>
    <row r="203" spans="1:19" x14ac:dyDescent="0.25">
      <c r="A203" t="s">
        <v>14</v>
      </c>
      <c r="B203" t="s">
        <v>737</v>
      </c>
      <c r="C203" t="s">
        <v>738</v>
      </c>
      <c r="D203" t="s">
        <v>739</v>
      </c>
      <c r="E203" t="s">
        <v>740</v>
      </c>
      <c r="F203" t="s">
        <v>47</v>
      </c>
      <c r="G203" s="2" t="s">
        <v>741</v>
      </c>
      <c r="H203" t="s">
        <v>83</v>
      </c>
      <c r="I203" s="1">
        <v>46008.78224537037</v>
      </c>
      <c r="J203" t="s">
        <v>49</v>
      </c>
      <c r="K203" s="1">
        <v>46008.782754629632</v>
      </c>
      <c r="L203" s="1">
        <v>46008.835092592592</v>
      </c>
      <c r="M203">
        <v>76</v>
      </c>
      <c r="N203" t="s">
        <v>14</v>
      </c>
      <c r="O203" t="s">
        <v>88</v>
      </c>
      <c r="P203" t="s">
        <v>51</v>
      </c>
      <c r="Q203">
        <v>30</v>
      </c>
      <c r="R203" t="s">
        <v>52</v>
      </c>
      <c r="S203" t="s">
        <v>27</v>
      </c>
    </row>
    <row r="204" spans="1:19" x14ac:dyDescent="0.25">
      <c r="A204" t="s">
        <v>14</v>
      </c>
      <c r="B204" t="s">
        <v>742</v>
      </c>
      <c r="C204" t="s">
        <v>743</v>
      </c>
      <c r="D204" t="s">
        <v>744</v>
      </c>
      <c r="E204" t="s">
        <v>745</v>
      </c>
      <c r="F204" t="s">
        <v>47</v>
      </c>
      <c r="G204">
        <v>49028</v>
      </c>
      <c r="H204" t="s">
        <v>521</v>
      </c>
      <c r="I204" s="1">
        <v>46008.787546296298</v>
      </c>
      <c r="J204" t="s">
        <v>49</v>
      </c>
      <c r="K204" s="1">
        <v>46008.787685185183</v>
      </c>
      <c r="L204" s="1">
        <v>46008.833321759259</v>
      </c>
      <c r="M204">
        <v>66</v>
      </c>
      <c r="N204" t="s">
        <v>14</v>
      </c>
      <c r="O204" t="s">
        <v>50</v>
      </c>
      <c r="P204" t="s">
        <v>103</v>
      </c>
      <c r="Q204">
        <v>1000</v>
      </c>
      <c r="R204" t="s">
        <v>113</v>
      </c>
      <c r="S204" t="s">
        <v>27</v>
      </c>
    </row>
    <row r="205" spans="1:19" x14ac:dyDescent="0.25">
      <c r="A205" t="s">
        <v>14</v>
      </c>
      <c r="B205" t="s">
        <v>746</v>
      </c>
      <c r="C205" t="s">
        <v>125</v>
      </c>
      <c r="D205" t="s">
        <v>747</v>
      </c>
      <c r="E205" t="s">
        <v>748</v>
      </c>
      <c r="F205" t="s">
        <v>47</v>
      </c>
      <c r="G205">
        <v>49735</v>
      </c>
      <c r="H205" t="s">
        <v>521</v>
      </c>
      <c r="I205" s="1">
        <v>46008.789953703701</v>
      </c>
      <c r="J205" t="s">
        <v>49</v>
      </c>
      <c r="K205" s="1">
        <v>46008.791863425926</v>
      </c>
      <c r="L205" s="1">
        <v>46008.79414351852</v>
      </c>
      <c r="M205">
        <v>4</v>
      </c>
      <c r="N205" t="s">
        <v>14</v>
      </c>
      <c r="O205" t="s">
        <v>99</v>
      </c>
      <c r="P205" t="s">
        <v>103</v>
      </c>
      <c r="Q205">
        <v>200</v>
      </c>
      <c r="R205" t="s">
        <v>52</v>
      </c>
      <c r="S205" t="s">
        <v>27</v>
      </c>
    </row>
    <row r="206" spans="1:19" x14ac:dyDescent="0.25">
      <c r="A206" t="s">
        <v>14</v>
      </c>
      <c r="B206" t="s">
        <v>746</v>
      </c>
      <c r="C206" t="s">
        <v>125</v>
      </c>
      <c r="D206" t="s">
        <v>747</v>
      </c>
      <c r="E206" t="s">
        <v>748</v>
      </c>
      <c r="K206" s="1">
        <v>46008.79414351852</v>
      </c>
      <c r="L206" s="1">
        <v>46008.802546296298</v>
      </c>
      <c r="M206">
        <v>13</v>
      </c>
      <c r="N206" t="s">
        <v>14</v>
      </c>
      <c r="S206" t="s">
        <v>27</v>
      </c>
    </row>
    <row r="207" spans="1:19" x14ac:dyDescent="0.25">
      <c r="A207" t="s">
        <v>14</v>
      </c>
      <c r="B207" t="s">
        <v>746</v>
      </c>
      <c r="C207" t="s">
        <v>125</v>
      </c>
      <c r="D207" t="s">
        <v>747</v>
      </c>
      <c r="E207" t="s">
        <v>748</v>
      </c>
      <c r="K207" s="1">
        <v>46008.802546296298</v>
      </c>
      <c r="L207" s="1">
        <v>46008.802662037036</v>
      </c>
      <c r="M207">
        <v>1</v>
      </c>
      <c r="N207" t="s">
        <v>14</v>
      </c>
      <c r="S207" t="s">
        <v>27</v>
      </c>
    </row>
    <row r="208" spans="1:19" x14ac:dyDescent="0.25">
      <c r="A208" t="s">
        <v>14</v>
      </c>
      <c r="B208" t="s">
        <v>746</v>
      </c>
      <c r="C208" t="s">
        <v>125</v>
      </c>
      <c r="D208" t="s">
        <v>747</v>
      </c>
      <c r="E208" t="s">
        <v>748</v>
      </c>
      <c r="K208" s="1">
        <v>46008.802662037036</v>
      </c>
      <c r="L208" s="1">
        <v>46008.835092592592</v>
      </c>
      <c r="M208">
        <v>47</v>
      </c>
      <c r="N208" t="s">
        <v>14</v>
      </c>
      <c r="S208" t="s">
        <v>27</v>
      </c>
    </row>
    <row r="209" spans="1:19" x14ac:dyDescent="0.25">
      <c r="A209" t="s">
        <v>14</v>
      </c>
      <c r="B209" t="s">
        <v>749</v>
      </c>
      <c r="C209" t="s">
        <v>750</v>
      </c>
      <c r="D209" t="s">
        <v>751</v>
      </c>
      <c r="E209" t="s">
        <v>752</v>
      </c>
      <c r="F209" t="s">
        <v>47</v>
      </c>
      <c r="G209" s="2" t="s">
        <v>753</v>
      </c>
      <c r="H209" t="s">
        <v>70</v>
      </c>
      <c r="I209" s="1">
        <v>46008.79277777778</v>
      </c>
      <c r="J209" t="s">
        <v>49</v>
      </c>
      <c r="K209" s="1">
        <v>46008.792893518519</v>
      </c>
      <c r="L209" s="1">
        <v>46008.835092592592</v>
      </c>
      <c r="M209">
        <v>61</v>
      </c>
      <c r="N209" t="s">
        <v>14</v>
      </c>
      <c r="O209" t="s">
        <v>50</v>
      </c>
      <c r="P209" t="s">
        <v>71</v>
      </c>
      <c r="Q209">
        <v>200</v>
      </c>
      <c r="R209" t="s">
        <v>52</v>
      </c>
      <c r="S209" t="s">
        <v>27</v>
      </c>
    </row>
    <row r="210" spans="1:19" x14ac:dyDescent="0.25">
      <c r="A210" t="s">
        <v>26</v>
      </c>
      <c r="B210" t="s">
        <v>754</v>
      </c>
      <c r="C210" t="s">
        <v>754</v>
      </c>
      <c r="D210" t="s">
        <v>755</v>
      </c>
      <c r="E210" t="s">
        <v>756</v>
      </c>
      <c r="F210" t="s">
        <v>47</v>
      </c>
      <c r="G210">
        <v>18643</v>
      </c>
      <c r="H210" t="s">
        <v>165</v>
      </c>
      <c r="I210" s="1">
        <v>45825.318414351852</v>
      </c>
      <c r="J210" t="s">
        <v>49</v>
      </c>
      <c r="K210" t="s">
        <v>757</v>
      </c>
      <c r="L210" t="s">
        <v>757</v>
      </c>
      <c r="M210" t="s">
        <v>757</v>
      </c>
      <c r="N210" t="s">
        <v>757</v>
      </c>
      <c r="O210" t="s">
        <v>99</v>
      </c>
      <c r="P210" t="s">
        <v>216</v>
      </c>
      <c r="Q210">
        <v>0</v>
      </c>
      <c r="R210" t="s">
        <v>52</v>
      </c>
      <c r="S210" t="s">
        <v>27</v>
      </c>
    </row>
    <row r="211" spans="1:19" x14ac:dyDescent="0.25">
      <c r="A211" t="s">
        <v>26</v>
      </c>
      <c r="B211" t="s">
        <v>758</v>
      </c>
      <c r="C211" t="s">
        <v>758</v>
      </c>
      <c r="D211" t="s">
        <v>759</v>
      </c>
      <c r="E211" t="s">
        <v>760</v>
      </c>
      <c r="F211" t="s">
        <v>47</v>
      </c>
      <c r="G211">
        <v>49855</v>
      </c>
      <c r="H211" t="s">
        <v>521</v>
      </c>
      <c r="I211" s="1">
        <v>46001.501226851855</v>
      </c>
      <c r="J211" t="s">
        <v>49</v>
      </c>
      <c r="K211" t="s">
        <v>757</v>
      </c>
      <c r="L211" t="s">
        <v>757</v>
      </c>
      <c r="M211" t="s">
        <v>757</v>
      </c>
      <c r="N211" t="s">
        <v>757</v>
      </c>
      <c r="O211" t="s">
        <v>156</v>
      </c>
      <c r="P211" t="s">
        <v>51</v>
      </c>
      <c r="Q211">
        <v>1000</v>
      </c>
      <c r="R211" t="s">
        <v>113</v>
      </c>
      <c r="S211" t="s">
        <v>27</v>
      </c>
    </row>
    <row r="212" spans="1:19" x14ac:dyDescent="0.25">
      <c r="A212" t="s">
        <v>26</v>
      </c>
      <c r="B212" t="s">
        <v>761</v>
      </c>
      <c r="C212" t="s">
        <v>761</v>
      </c>
      <c r="D212" t="s">
        <v>762</v>
      </c>
      <c r="E212" t="s">
        <v>763</v>
      </c>
      <c r="F212" t="s">
        <v>47</v>
      </c>
      <c r="G212" s="2" t="s">
        <v>589</v>
      </c>
      <c r="H212" t="s">
        <v>83</v>
      </c>
      <c r="I212" s="1">
        <v>46001.502685185187</v>
      </c>
      <c r="J212" t="s">
        <v>49</v>
      </c>
      <c r="K212" t="s">
        <v>757</v>
      </c>
      <c r="L212" t="s">
        <v>757</v>
      </c>
      <c r="M212" t="s">
        <v>757</v>
      </c>
      <c r="N212" t="s">
        <v>757</v>
      </c>
      <c r="O212" t="s">
        <v>77</v>
      </c>
      <c r="P212" t="s">
        <v>51</v>
      </c>
      <c r="Q212">
        <v>0</v>
      </c>
      <c r="R212" t="s">
        <v>113</v>
      </c>
      <c r="S212" t="s">
        <v>27</v>
      </c>
    </row>
    <row r="213" spans="1:19" x14ac:dyDescent="0.25">
      <c r="A213" t="s">
        <v>26</v>
      </c>
      <c r="B213" t="s">
        <v>764</v>
      </c>
      <c r="C213" t="s">
        <v>764</v>
      </c>
      <c r="D213" t="s">
        <v>765</v>
      </c>
      <c r="E213" t="s">
        <v>766</v>
      </c>
      <c r="F213" t="s">
        <v>47</v>
      </c>
      <c r="G213">
        <v>13224</v>
      </c>
      <c r="H213" t="s">
        <v>76</v>
      </c>
      <c r="I213" s="1">
        <v>46001.502800925926</v>
      </c>
      <c r="J213" t="s">
        <v>49</v>
      </c>
      <c r="K213" t="s">
        <v>757</v>
      </c>
      <c r="L213" t="s">
        <v>757</v>
      </c>
      <c r="M213" t="s">
        <v>757</v>
      </c>
      <c r="N213" t="s">
        <v>757</v>
      </c>
      <c r="O213" t="s">
        <v>99</v>
      </c>
      <c r="P213" t="s">
        <v>103</v>
      </c>
      <c r="Q213">
        <v>0</v>
      </c>
      <c r="R213" t="s">
        <v>52</v>
      </c>
      <c r="S213" t="s">
        <v>27</v>
      </c>
    </row>
    <row r="214" spans="1:19" x14ac:dyDescent="0.25">
      <c r="A214" t="s">
        <v>26</v>
      </c>
      <c r="B214" t="s">
        <v>767</v>
      </c>
      <c r="C214" t="s">
        <v>767</v>
      </c>
      <c r="D214" t="s">
        <v>768</v>
      </c>
      <c r="E214" t="s">
        <v>769</v>
      </c>
      <c r="F214" t="s">
        <v>47</v>
      </c>
      <c r="G214">
        <v>14072</v>
      </c>
      <c r="H214" t="s">
        <v>76</v>
      </c>
      <c r="I214" s="1">
        <v>46001.507800925923</v>
      </c>
      <c r="J214" t="s">
        <v>49</v>
      </c>
      <c r="K214" t="s">
        <v>757</v>
      </c>
      <c r="L214" t="s">
        <v>757</v>
      </c>
      <c r="M214" t="s">
        <v>757</v>
      </c>
      <c r="N214" t="s">
        <v>757</v>
      </c>
      <c r="O214" t="s">
        <v>136</v>
      </c>
      <c r="P214" t="s">
        <v>51</v>
      </c>
      <c r="Q214" t="s">
        <v>26</v>
      </c>
      <c r="R214" t="s">
        <v>52</v>
      </c>
      <c r="S214" t="s">
        <v>27</v>
      </c>
    </row>
    <row r="215" spans="1:19" x14ac:dyDescent="0.25">
      <c r="A215" t="s">
        <v>26</v>
      </c>
      <c r="B215" t="s">
        <v>61</v>
      </c>
      <c r="C215" t="s">
        <v>61</v>
      </c>
      <c r="D215" t="s">
        <v>770</v>
      </c>
      <c r="E215" t="s">
        <v>771</v>
      </c>
      <c r="F215" t="s">
        <v>47</v>
      </c>
      <c r="G215" s="2" t="s">
        <v>772</v>
      </c>
      <c r="H215" t="s">
        <v>70</v>
      </c>
      <c r="I215" s="1">
        <v>46001.510833333334</v>
      </c>
      <c r="J215" t="s">
        <v>49</v>
      </c>
      <c r="K215" t="s">
        <v>757</v>
      </c>
      <c r="L215" t="s">
        <v>757</v>
      </c>
      <c r="M215" t="s">
        <v>757</v>
      </c>
      <c r="N215" t="s">
        <v>757</v>
      </c>
      <c r="O215" t="s">
        <v>50</v>
      </c>
      <c r="P215" t="s">
        <v>71</v>
      </c>
      <c r="Q215">
        <v>0</v>
      </c>
      <c r="R215" t="s">
        <v>52</v>
      </c>
      <c r="S215" t="s">
        <v>27</v>
      </c>
    </row>
    <row r="216" spans="1:19" x14ac:dyDescent="0.25">
      <c r="A216" t="s">
        <v>26</v>
      </c>
      <c r="B216" t="s">
        <v>773</v>
      </c>
      <c r="C216" t="s">
        <v>773</v>
      </c>
      <c r="D216" t="s">
        <v>773</v>
      </c>
      <c r="E216" t="s">
        <v>774</v>
      </c>
      <c r="F216" t="s">
        <v>47</v>
      </c>
      <c r="G216">
        <v>12210</v>
      </c>
      <c r="H216" t="s">
        <v>76</v>
      </c>
      <c r="I216" s="1">
        <v>46001.513333333336</v>
      </c>
      <c r="J216" t="s">
        <v>49</v>
      </c>
      <c r="K216" t="s">
        <v>757</v>
      </c>
      <c r="L216" t="s">
        <v>757</v>
      </c>
      <c r="M216" t="s">
        <v>757</v>
      </c>
      <c r="N216" t="s">
        <v>757</v>
      </c>
      <c r="O216" t="s">
        <v>77</v>
      </c>
      <c r="P216" t="s">
        <v>51</v>
      </c>
      <c r="Q216">
        <v>0</v>
      </c>
      <c r="R216" t="s">
        <v>113</v>
      </c>
      <c r="S216" t="s">
        <v>27</v>
      </c>
    </row>
    <row r="217" spans="1:19" x14ac:dyDescent="0.25">
      <c r="A217" t="s">
        <v>26</v>
      </c>
      <c r="B217" t="s">
        <v>775</v>
      </c>
      <c r="C217" t="s">
        <v>775</v>
      </c>
      <c r="D217" t="s">
        <v>776</v>
      </c>
      <c r="E217" t="s">
        <v>777</v>
      </c>
      <c r="F217" t="s">
        <v>47</v>
      </c>
      <c r="G217" s="2" t="s">
        <v>778</v>
      </c>
      <c r="H217" t="s">
        <v>170</v>
      </c>
      <c r="I217" s="1">
        <v>46001.525567129633</v>
      </c>
      <c r="J217" t="s">
        <v>49</v>
      </c>
      <c r="K217" t="s">
        <v>757</v>
      </c>
      <c r="L217" t="s">
        <v>757</v>
      </c>
      <c r="M217" t="s">
        <v>757</v>
      </c>
      <c r="N217" t="s">
        <v>757</v>
      </c>
      <c r="O217" t="s">
        <v>50</v>
      </c>
      <c r="P217" t="s">
        <v>71</v>
      </c>
      <c r="Q217">
        <v>5000</v>
      </c>
      <c r="R217" t="s">
        <v>52</v>
      </c>
      <c r="S217" t="s">
        <v>27</v>
      </c>
    </row>
    <row r="218" spans="1:19" x14ac:dyDescent="0.25">
      <c r="A218" t="s">
        <v>26</v>
      </c>
      <c r="B218" t="s">
        <v>779</v>
      </c>
      <c r="C218" t="s">
        <v>779</v>
      </c>
      <c r="D218" t="s">
        <v>780</v>
      </c>
      <c r="E218" t="s">
        <v>781</v>
      </c>
      <c r="F218" t="s">
        <v>47</v>
      </c>
      <c r="G218">
        <v>12962</v>
      </c>
      <c r="H218" t="s">
        <v>76</v>
      </c>
      <c r="I218" s="1">
        <v>46001.526689814818</v>
      </c>
      <c r="J218" t="s">
        <v>49</v>
      </c>
      <c r="K218" t="s">
        <v>757</v>
      </c>
      <c r="L218" t="s">
        <v>757</v>
      </c>
      <c r="M218" t="s">
        <v>757</v>
      </c>
      <c r="N218" t="s">
        <v>757</v>
      </c>
      <c r="O218" t="s">
        <v>50</v>
      </c>
      <c r="P218" t="s">
        <v>51</v>
      </c>
      <c r="Q218">
        <v>100</v>
      </c>
      <c r="R218" t="s">
        <v>52</v>
      </c>
      <c r="S218" t="s">
        <v>27</v>
      </c>
    </row>
    <row r="219" spans="1:19" x14ac:dyDescent="0.25">
      <c r="A219" t="s">
        <v>26</v>
      </c>
      <c r="B219" t="s">
        <v>782</v>
      </c>
      <c r="C219" t="s">
        <v>782</v>
      </c>
      <c r="D219" t="s">
        <v>783</v>
      </c>
      <c r="E219" t="s">
        <v>784</v>
      </c>
      <c r="F219" t="s">
        <v>47</v>
      </c>
      <c r="G219">
        <v>12865</v>
      </c>
      <c r="H219" t="s">
        <v>76</v>
      </c>
      <c r="I219" s="1">
        <v>46001.529502314814</v>
      </c>
      <c r="J219" t="s">
        <v>49</v>
      </c>
      <c r="K219" t="s">
        <v>757</v>
      </c>
      <c r="L219" t="s">
        <v>757</v>
      </c>
      <c r="M219" t="s">
        <v>757</v>
      </c>
      <c r="N219" t="s">
        <v>757</v>
      </c>
      <c r="O219" t="s">
        <v>177</v>
      </c>
      <c r="P219" t="s">
        <v>216</v>
      </c>
      <c r="Q219">
        <v>50</v>
      </c>
      <c r="R219" t="s">
        <v>52</v>
      </c>
      <c r="S219" t="s">
        <v>27</v>
      </c>
    </row>
    <row r="220" spans="1:19" x14ac:dyDescent="0.25">
      <c r="A220" t="s">
        <v>26</v>
      </c>
      <c r="B220" t="s">
        <v>527</v>
      </c>
      <c r="C220" t="s">
        <v>527</v>
      </c>
      <c r="D220" t="s">
        <v>785</v>
      </c>
      <c r="E220" t="s">
        <v>786</v>
      </c>
      <c r="F220" t="s">
        <v>787</v>
      </c>
      <c r="G220" s="2" t="s">
        <v>788</v>
      </c>
      <c r="H220" t="s">
        <v>136</v>
      </c>
      <c r="I220" s="1">
        <v>46001.531793981485</v>
      </c>
      <c r="J220" t="s">
        <v>49</v>
      </c>
      <c r="K220" t="s">
        <v>757</v>
      </c>
      <c r="L220" t="s">
        <v>757</v>
      </c>
      <c r="M220" t="s">
        <v>757</v>
      </c>
      <c r="N220" t="s">
        <v>757</v>
      </c>
      <c r="O220" t="s">
        <v>136</v>
      </c>
      <c r="P220" t="s">
        <v>136</v>
      </c>
      <c r="Q220">
        <v>0</v>
      </c>
      <c r="R220" t="s">
        <v>52</v>
      </c>
      <c r="S220" t="s">
        <v>789</v>
      </c>
    </row>
    <row r="221" spans="1:19" x14ac:dyDescent="0.25">
      <c r="A221" t="s">
        <v>26</v>
      </c>
      <c r="B221" t="s">
        <v>790</v>
      </c>
      <c r="C221" t="s">
        <v>790</v>
      </c>
      <c r="D221" t="s">
        <v>791</v>
      </c>
      <c r="E221" t="s">
        <v>792</v>
      </c>
      <c r="F221" t="s">
        <v>47</v>
      </c>
      <c r="G221">
        <v>12303</v>
      </c>
      <c r="H221" t="s">
        <v>76</v>
      </c>
      <c r="I221" s="1">
        <v>46001.560486111113</v>
      </c>
      <c r="J221" t="s">
        <v>49</v>
      </c>
      <c r="K221" t="s">
        <v>757</v>
      </c>
      <c r="L221" t="s">
        <v>757</v>
      </c>
      <c r="M221" t="s">
        <v>757</v>
      </c>
      <c r="N221" t="s">
        <v>757</v>
      </c>
      <c r="O221" t="s">
        <v>88</v>
      </c>
      <c r="P221" t="s">
        <v>216</v>
      </c>
      <c r="Q221">
        <v>50</v>
      </c>
      <c r="R221" t="s">
        <v>52</v>
      </c>
      <c r="S221" t="s">
        <v>27</v>
      </c>
    </row>
    <row r="222" spans="1:19" x14ac:dyDescent="0.25">
      <c r="A222" t="s">
        <v>26</v>
      </c>
      <c r="B222" t="s">
        <v>793</v>
      </c>
      <c r="C222" t="s">
        <v>793</v>
      </c>
      <c r="D222" t="s">
        <v>794</v>
      </c>
      <c r="E222" t="s">
        <v>795</v>
      </c>
      <c r="F222" t="s">
        <v>147</v>
      </c>
      <c r="G222" t="s">
        <v>796</v>
      </c>
      <c r="H222" t="s">
        <v>149</v>
      </c>
      <c r="I222" s="1">
        <v>46001.561284722222</v>
      </c>
      <c r="J222" t="s">
        <v>49</v>
      </c>
      <c r="K222" t="s">
        <v>757</v>
      </c>
      <c r="L222" t="s">
        <v>757</v>
      </c>
      <c r="M222" t="s">
        <v>757</v>
      </c>
      <c r="N222" t="s">
        <v>757</v>
      </c>
      <c r="O222" t="s">
        <v>50</v>
      </c>
      <c r="P222" t="s">
        <v>51</v>
      </c>
      <c r="Q222">
        <v>100</v>
      </c>
      <c r="R222" t="s">
        <v>52</v>
      </c>
      <c r="S222" t="s">
        <v>150</v>
      </c>
    </row>
    <row r="223" spans="1:19" x14ac:dyDescent="0.25">
      <c r="A223" t="s">
        <v>26</v>
      </c>
      <c r="B223" t="s">
        <v>144</v>
      </c>
      <c r="C223" t="s">
        <v>144</v>
      </c>
      <c r="D223" t="s">
        <v>797</v>
      </c>
      <c r="E223" t="s">
        <v>798</v>
      </c>
      <c r="F223" t="s">
        <v>147</v>
      </c>
      <c r="G223" t="s">
        <v>799</v>
      </c>
      <c r="H223" t="s">
        <v>407</v>
      </c>
      <c r="I223" s="1">
        <v>46001.576597222222</v>
      </c>
      <c r="J223" t="s">
        <v>49</v>
      </c>
      <c r="K223" t="s">
        <v>757</v>
      </c>
      <c r="L223" t="s">
        <v>757</v>
      </c>
      <c r="M223" t="s">
        <v>757</v>
      </c>
      <c r="N223" t="s">
        <v>757</v>
      </c>
      <c r="O223" t="s">
        <v>99</v>
      </c>
      <c r="P223" t="s">
        <v>136</v>
      </c>
      <c r="Q223">
        <v>78</v>
      </c>
      <c r="R223" t="s">
        <v>52</v>
      </c>
      <c r="S223" t="s">
        <v>150</v>
      </c>
    </row>
    <row r="224" spans="1:19" x14ac:dyDescent="0.25">
      <c r="A224" t="s">
        <v>26</v>
      </c>
      <c r="B224" t="s">
        <v>531</v>
      </c>
      <c r="C224" t="s">
        <v>531</v>
      </c>
      <c r="D224" t="s">
        <v>800</v>
      </c>
      <c r="E224" t="s">
        <v>801</v>
      </c>
      <c r="F224" t="s">
        <v>47</v>
      </c>
      <c r="G224" s="2" t="s">
        <v>802</v>
      </c>
      <c r="H224" t="s">
        <v>123</v>
      </c>
      <c r="I224" s="1">
        <v>46001.58425925926</v>
      </c>
      <c r="J224" t="s">
        <v>49</v>
      </c>
      <c r="K224" t="s">
        <v>757</v>
      </c>
      <c r="L224" t="s">
        <v>757</v>
      </c>
      <c r="M224" t="s">
        <v>757</v>
      </c>
      <c r="N224" t="s">
        <v>757</v>
      </c>
      <c r="O224" t="s">
        <v>136</v>
      </c>
      <c r="P224" t="s">
        <v>51</v>
      </c>
      <c r="Q224">
        <v>40</v>
      </c>
      <c r="R224" t="s">
        <v>113</v>
      </c>
      <c r="S224" t="s">
        <v>27</v>
      </c>
    </row>
    <row r="225" spans="1:19" x14ac:dyDescent="0.25">
      <c r="A225" t="s">
        <v>26</v>
      </c>
      <c r="B225" t="s">
        <v>803</v>
      </c>
      <c r="C225" t="s">
        <v>803</v>
      </c>
      <c r="D225" t="s">
        <v>804</v>
      </c>
      <c r="E225" t="s">
        <v>805</v>
      </c>
      <c r="F225" t="s">
        <v>47</v>
      </c>
      <c r="G225" s="2" t="s">
        <v>806</v>
      </c>
      <c r="H225" t="s">
        <v>83</v>
      </c>
      <c r="I225" s="1">
        <v>46001.600462962961</v>
      </c>
      <c r="J225" t="s">
        <v>49</v>
      </c>
      <c r="K225" t="s">
        <v>757</v>
      </c>
      <c r="L225" t="s">
        <v>757</v>
      </c>
      <c r="M225" t="s">
        <v>757</v>
      </c>
      <c r="N225" t="s">
        <v>757</v>
      </c>
      <c r="O225" t="s">
        <v>136</v>
      </c>
      <c r="P225" t="s">
        <v>51</v>
      </c>
      <c r="Q225" t="s">
        <v>807</v>
      </c>
      <c r="R225" t="s">
        <v>52</v>
      </c>
      <c r="S225" t="s">
        <v>27</v>
      </c>
    </row>
    <row r="226" spans="1:19" x14ac:dyDescent="0.25">
      <c r="A226" t="s">
        <v>26</v>
      </c>
      <c r="B226" t="s">
        <v>808</v>
      </c>
      <c r="C226" t="s">
        <v>808</v>
      </c>
      <c r="D226" t="s">
        <v>809</v>
      </c>
      <c r="E226" t="s">
        <v>810</v>
      </c>
      <c r="F226" t="s">
        <v>47</v>
      </c>
      <c r="G226">
        <v>35603</v>
      </c>
      <c r="H226" t="s">
        <v>811</v>
      </c>
      <c r="I226" s="1">
        <v>46001.718611111108</v>
      </c>
      <c r="J226" t="s">
        <v>49</v>
      </c>
      <c r="K226" t="s">
        <v>757</v>
      </c>
      <c r="L226" t="s">
        <v>757</v>
      </c>
      <c r="M226" t="s">
        <v>757</v>
      </c>
      <c r="N226" t="s">
        <v>757</v>
      </c>
      <c r="O226" t="s">
        <v>93</v>
      </c>
      <c r="P226" t="s">
        <v>51</v>
      </c>
      <c r="Q226">
        <v>150</v>
      </c>
      <c r="R226" t="s">
        <v>52</v>
      </c>
      <c r="S226" t="s">
        <v>27</v>
      </c>
    </row>
    <row r="227" spans="1:19" x14ac:dyDescent="0.25">
      <c r="A227" t="s">
        <v>26</v>
      </c>
      <c r="B227" t="s">
        <v>812</v>
      </c>
      <c r="C227" t="s">
        <v>812</v>
      </c>
      <c r="D227" t="s">
        <v>813</v>
      </c>
      <c r="E227" t="s">
        <v>814</v>
      </c>
      <c r="F227" t="s">
        <v>47</v>
      </c>
      <c r="G227" s="2" t="s">
        <v>815</v>
      </c>
      <c r="H227" t="s">
        <v>170</v>
      </c>
      <c r="I227" s="1">
        <v>46001.719571759262</v>
      </c>
      <c r="J227" t="s">
        <v>49</v>
      </c>
      <c r="K227" t="s">
        <v>757</v>
      </c>
      <c r="L227" t="s">
        <v>757</v>
      </c>
      <c r="M227" t="s">
        <v>757</v>
      </c>
      <c r="N227" t="s">
        <v>757</v>
      </c>
      <c r="O227" t="s">
        <v>50</v>
      </c>
      <c r="P227" t="s">
        <v>71</v>
      </c>
      <c r="Q227">
        <v>0</v>
      </c>
      <c r="R227" t="s">
        <v>52</v>
      </c>
      <c r="S227" t="s">
        <v>27</v>
      </c>
    </row>
    <row r="228" spans="1:19" x14ac:dyDescent="0.25">
      <c r="A228" t="s">
        <v>26</v>
      </c>
      <c r="B228" t="s">
        <v>816</v>
      </c>
      <c r="C228" t="s">
        <v>816</v>
      </c>
      <c r="D228" t="s">
        <v>817</v>
      </c>
      <c r="E228" t="s">
        <v>818</v>
      </c>
      <c r="F228" t="s">
        <v>47</v>
      </c>
      <c r="G228">
        <v>26261</v>
      </c>
      <c r="H228" t="s">
        <v>819</v>
      </c>
      <c r="I228" s="1">
        <v>46001.764976851853</v>
      </c>
      <c r="J228" t="s">
        <v>49</v>
      </c>
      <c r="K228" t="s">
        <v>757</v>
      </c>
      <c r="L228" t="s">
        <v>757</v>
      </c>
      <c r="M228" t="s">
        <v>757</v>
      </c>
      <c r="N228" t="s">
        <v>757</v>
      </c>
      <c r="O228" t="s">
        <v>50</v>
      </c>
      <c r="P228" t="s">
        <v>59</v>
      </c>
      <c r="Q228" t="s">
        <v>820</v>
      </c>
      <c r="R228" t="s">
        <v>52</v>
      </c>
      <c r="S228" t="s">
        <v>27</v>
      </c>
    </row>
    <row r="229" spans="1:19" x14ac:dyDescent="0.25">
      <c r="A229" t="s">
        <v>26</v>
      </c>
      <c r="B229" t="s">
        <v>105</v>
      </c>
      <c r="C229" t="s">
        <v>105</v>
      </c>
      <c r="D229" t="s">
        <v>821</v>
      </c>
      <c r="E229" t="s">
        <v>822</v>
      </c>
      <c r="F229" t="s">
        <v>47</v>
      </c>
      <c r="G229">
        <v>13021</v>
      </c>
      <c r="H229" t="s">
        <v>76</v>
      </c>
      <c r="I229" s="1">
        <v>46002.289722222224</v>
      </c>
      <c r="J229" t="s">
        <v>49</v>
      </c>
      <c r="K229" t="s">
        <v>757</v>
      </c>
      <c r="L229" t="s">
        <v>757</v>
      </c>
      <c r="M229" t="s">
        <v>757</v>
      </c>
      <c r="N229" t="s">
        <v>757</v>
      </c>
      <c r="O229" t="s">
        <v>156</v>
      </c>
      <c r="P229" t="s">
        <v>51</v>
      </c>
      <c r="Q229">
        <v>14</v>
      </c>
      <c r="R229" t="s">
        <v>52</v>
      </c>
      <c r="S229" t="s">
        <v>27</v>
      </c>
    </row>
    <row r="230" spans="1:19" x14ac:dyDescent="0.25">
      <c r="A230" t="s">
        <v>26</v>
      </c>
      <c r="B230" t="s">
        <v>823</v>
      </c>
      <c r="C230" t="s">
        <v>823</v>
      </c>
      <c r="D230" t="s">
        <v>824</v>
      </c>
      <c r="E230" t="s">
        <v>825</v>
      </c>
      <c r="F230" t="s">
        <v>47</v>
      </c>
      <c r="G230">
        <v>13856</v>
      </c>
      <c r="H230" t="s">
        <v>76</v>
      </c>
      <c r="I230" s="1">
        <v>46002.334085648145</v>
      </c>
      <c r="J230" t="s">
        <v>49</v>
      </c>
      <c r="K230" t="s">
        <v>757</v>
      </c>
      <c r="L230" t="s">
        <v>757</v>
      </c>
      <c r="M230" t="s">
        <v>757</v>
      </c>
      <c r="N230" t="s">
        <v>757</v>
      </c>
      <c r="O230" t="s">
        <v>156</v>
      </c>
      <c r="P230" t="s">
        <v>51</v>
      </c>
      <c r="Q230">
        <v>28</v>
      </c>
      <c r="R230" t="s">
        <v>52</v>
      </c>
      <c r="S230" t="s">
        <v>27</v>
      </c>
    </row>
    <row r="231" spans="1:19" x14ac:dyDescent="0.25">
      <c r="A231" t="s">
        <v>26</v>
      </c>
      <c r="B231" t="s">
        <v>826</v>
      </c>
      <c r="C231" t="s">
        <v>826</v>
      </c>
      <c r="D231" t="s">
        <v>827</v>
      </c>
      <c r="E231" t="s">
        <v>828</v>
      </c>
      <c r="F231" t="s">
        <v>47</v>
      </c>
      <c r="G231" t="str">
        <f>"14225-1364"</f>
        <v>14225-1364</v>
      </c>
      <c r="H231" t="s">
        <v>76</v>
      </c>
      <c r="I231" s="1">
        <v>46002.392789351848</v>
      </c>
      <c r="J231" t="s">
        <v>49</v>
      </c>
      <c r="K231" t="s">
        <v>757</v>
      </c>
      <c r="L231" t="s">
        <v>757</v>
      </c>
      <c r="M231" t="s">
        <v>757</v>
      </c>
      <c r="N231" t="s">
        <v>757</v>
      </c>
      <c r="O231" t="s">
        <v>136</v>
      </c>
      <c r="P231" t="s">
        <v>51</v>
      </c>
      <c r="Q231" t="s">
        <v>829</v>
      </c>
      <c r="R231" t="s">
        <v>113</v>
      </c>
      <c r="S231" t="s">
        <v>27</v>
      </c>
    </row>
    <row r="232" spans="1:19" x14ac:dyDescent="0.25">
      <c r="A232" t="s">
        <v>26</v>
      </c>
      <c r="B232" t="s">
        <v>830</v>
      </c>
      <c r="C232" t="s">
        <v>830</v>
      </c>
      <c r="D232" t="s">
        <v>831</v>
      </c>
      <c r="E232" t="s">
        <v>832</v>
      </c>
      <c r="F232" t="s">
        <v>47</v>
      </c>
      <c r="G232">
        <v>14454</v>
      </c>
      <c r="H232" t="s">
        <v>76</v>
      </c>
      <c r="I232" s="1">
        <v>46002.435381944444</v>
      </c>
      <c r="J232" t="s">
        <v>49</v>
      </c>
      <c r="K232" t="s">
        <v>757</v>
      </c>
      <c r="L232" t="s">
        <v>757</v>
      </c>
      <c r="M232" t="s">
        <v>757</v>
      </c>
      <c r="N232" t="s">
        <v>757</v>
      </c>
      <c r="O232" t="s">
        <v>136</v>
      </c>
      <c r="P232" t="s">
        <v>51</v>
      </c>
      <c r="Q232">
        <v>200</v>
      </c>
      <c r="R232" t="s">
        <v>52</v>
      </c>
      <c r="S232" t="s">
        <v>27</v>
      </c>
    </row>
    <row r="233" spans="1:19" x14ac:dyDescent="0.25">
      <c r="A233" t="s">
        <v>26</v>
      </c>
      <c r="B233" t="s">
        <v>105</v>
      </c>
      <c r="C233" t="s">
        <v>105</v>
      </c>
      <c r="D233" t="s">
        <v>833</v>
      </c>
      <c r="E233" t="s">
        <v>834</v>
      </c>
      <c r="F233" t="s">
        <v>47</v>
      </c>
      <c r="G233">
        <v>14817</v>
      </c>
      <c r="H233" t="s">
        <v>76</v>
      </c>
      <c r="I233" s="1">
        <v>46002.438576388886</v>
      </c>
      <c r="J233" t="s">
        <v>49</v>
      </c>
      <c r="K233" t="s">
        <v>757</v>
      </c>
      <c r="L233" t="s">
        <v>757</v>
      </c>
      <c r="M233" t="s">
        <v>757</v>
      </c>
      <c r="N233" t="s">
        <v>757</v>
      </c>
      <c r="O233" t="s">
        <v>88</v>
      </c>
      <c r="P233" t="s">
        <v>51</v>
      </c>
      <c r="Q233">
        <v>120</v>
      </c>
      <c r="R233" t="s">
        <v>52</v>
      </c>
      <c r="S233" t="s">
        <v>27</v>
      </c>
    </row>
    <row r="234" spans="1:19" x14ac:dyDescent="0.25">
      <c r="A234" t="s">
        <v>26</v>
      </c>
      <c r="B234" t="s">
        <v>835</v>
      </c>
      <c r="C234" t="s">
        <v>835</v>
      </c>
      <c r="D234" t="s">
        <v>836</v>
      </c>
      <c r="E234" t="s">
        <v>837</v>
      </c>
      <c r="F234" t="s">
        <v>47</v>
      </c>
      <c r="G234">
        <v>55109</v>
      </c>
      <c r="H234" t="s">
        <v>348</v>
      </c>
      <c r="I234" s="1">
        <v>46002.491006944445</v>
      </c>
      <c r="J234" t="s">
        <v>49</v>
      </c>
      <c r="K234" t="s">
        <v>757</v>
      </c>
      <c r="L234" t="s">
        <v>757</v>
      </c>
      <c r="M234" t="s">
        <v>757</v>
      </c>
      <c r="N234" t="s">
        <v>757</v>
      </c>
      <c r="O234" t="s">
        <v>88</v>
      </c>
      <c r="P234" t="s">
        <v>136</v>
      </c>
      <c r="Q234">
        <v>400</v>
      </c>
      <c r="R234" t="s">
        <v>52</v>
      </c>
      <c r="S234" t="s">
        <v>27</v>
      </c>
    </row>
    <row r="235" spans="1:19" x14ac:dyDescent="0.25">
      <c r="A235" t="s">
        <v>26</v>
      </c>
      <c r="B235" t="s">
        <v>838</v>
      </c>
      <c r="C235" t="s">
        <v>838</v>
      </c>
      <c r="D235" t="s">
        <v>296</v>
      </c>
      <c r="E235" t="s">
        <v>839</v>
      </c>
      <c r="F235" t="s">
        <v>47</v>
      </c>
      <c r="G235" t="str">
        <f>"14437-9570"</f>
        <v>14437-9570</v>
      </c>
      <c r="H235" t="s">
        <v>76</v>
      </c>
      <c r="I235" s="1">
        <v>46002.512025462966</v>
      </c>
      <c r="J235" t="s">
        <v>49</v>
      </c>
      <c r="K235" t="s">
        <v>757</v>
      </c>
      <c r="L235" t="s">
        <v>757</v>
      </c>
      <c r="M235" t="s">
        <v>757</v>
      </c>
      <c r="N235" t="s">
        <v>757</v>
      </c>
      <c r="O235" t="s">
        <v>88</v>
      </c>
      <c r="P235" t="s">
        <v>51</v>
      </c>
      <c r="Q235">
        <v>750</v>
      </c>
      <c r="R235" t="s">
        <v>113</v>
      </c>
      <c r="S235" t="s">
        <v>27</v>
      </c>
    </row>
    <row r="236" spans="1:19" x14ac:dyDescent="0.25">
      <c r="A236" t="s">
        <v>26</v>
      </c>
      <c r="B236" t="s">
        <v>840</v>
      </c>
      <c r="C236" t="s">
        <v>840</v>
      </c>
      <c r="D236" t="s">
        <v>841</v>
      </c>
      <c r="E236" t="s">
        <v>842</v>
      </c>
      <c r="F236" t="s">
        <v>47</v>
      </c>
      <c r="G236">
        <v>10983</v>
      </c>
      <c r="H236" t="s">
        <v>76</v>
      </c>
      <c r="I236" s="1">
        <v>46002.621747685182</v>
      </c>
      <c r="J236" t="s">
        <v>49</v>
      </c>
      <c r="K236" t="s">
        <v>757</v>
      </c>
      <c r="L236" t="s">
        <v>757</v>
      </c>
      <c r="M236" t="s">
        <v>757</v>
      </c>
      <c r="N236" t="s">
        <v>757</v>
      </c>
      <c r="O236" t="s">
        <v>88</v>
      </c>
      <c r="P236" t="s">
        <v>51</v>
      </c>
      <c r="Q236">
        <v>35</v>
      </c>
      <c r="R236" t="s">
        <v>113</v>
      </c>
      <c r="S236" t="s">
        <v>27</v>
      </c>
    </row>
    <row r="237" spans="1:19" x14ac:dyDescent="0.25">
      <c r="A237" t="s">
        <v>26</v>
      </c>
      <c r="B237" t="s">
        <v>689</v>
      </c>
      <c r="C237" t="s">
        <v>689</v>
      </c>
      <c r="D237" t="s">
        <v>843</v>
      </c>
      <c r="E237" t="s">
        <v>844</v>
      </c>
      <c r="F237" t="s">
        <v>47</v>
      </c>
      <c r="G237">
        <v>12035</v>
      </c>
      <c r="H237" t="s">
        <v>76</v>
      </c>
      <c r="I237" s="1">
        <v>46002.653738425928</v>
      </c>
      <c r="J237" t="s">
        <v>49</v>
      </c>
      <c r="K237" t="s">
        <v>757</v>
      </c>
      <c r="L237" t="s">
        <v>757</v>
      </c>
      <c r="M237" t="s">
        <v>757</v>
      </c>
      <c r="N237" t="s">
        <v>757</v>
      </c>
      <c r="O237" t="s">
        <v>93</v>
      </c>
      <c r="P237" t="s">
        <v>51</v>
      </c>
      <c r="Q237">
        <v>214</v>
      </c>
      <c r="R237" t="s">
        <v>113</v>
      </c>
      <c r="S237" t="s">
        <v>27</v>
      </c>
    </row>
    <row r="238" spans="1:19" x14ac:dyDescent="0.25">
      <c r="A238" t="s">
        <v>26</v>
      </c>
      <c r="B238" t="s">
        <v>845</v>
      </c>
      <c r="C238" t="s">
        <v>845</v>
      </c>
      <c r="D238" t="s">
        <v>293</v>
      </c>
      <c r="E238" t="s">
        <v>846</v>
      </c>
      <c r="F238" t="s">
        <v>47</v>
      </c>
      <c r="G238">
        <v>68361</v>
      </c>
      <c r="H238" t="s">
        <v>847</v>
      </c>
      <c r="I238" s="1">
        <v>46002.693298611113</v>
      </c>
      <c r="J238" t="s">
        <v>49</v>
      </c>
      <c r="K238" t="s">
        <v>757</v>
      </c>
      <c r="L238" t="s">
        <v>757</v>
      </c>
      <c r="M238" t="s">
        <v>757</v>
      </c>
      <c r="N238" t="s">
        <v>757</v>
      </c>
      <c r="O238" t="s">
        <v>93</v>
      </c>
      <c r="P238" t="s">
        <v>103</v>
      </c>
      <c r="Q238">
        <v>50</v>
      </c>
      <c r="R238" t="s">
        <v>52</v>
      </c>
      <c r="S238" t="s">
        <v>27</v>
      </c>
    </row>
    <row r="239" spans="1:19" x14ac:dyDescent="0.25">
      <c r="A239" t="s">
        <v>26</v>
      </c>
      <c r="B239" t="s">
        <v>724</v>
      </c>
      <c r="C239" t="s">
        <v>724</v>
      </c>
      <c r="D239" t="s">
        <v>848</v>
      </c>
      <c r="E239" t="s">
        <v>849</v>
      </c>
      <c r="F239" t="s">
        <v>47</v>
      </c>
      <c r="G239">
        <v>12401</v>
      </c>
      <c r="H239" t="s">
        <v>76</v>
      </c>
      <c r="I239" s="1">
        <v>46002.717488425929</v>
      </c>
      <c r="J239" t="s">
        <v>49</v>
      </c>
      <c r="K239" t="s">
        <v>757</v>
      </c>
      <c r="L239" t="s">
        <v>757</v>
      </c>
      <c r="M239" t="s">
        <v>757</v>
      </c>
      <c r="N239" t="s">
        <v>757</v>
      </c>
      <c r="O239" t="s">
        <v>99</v>
      </c>
      <c r="P239" t="s">
        <v>51</v>
      </c>
      <c r="Q239">
        <v>1</v>
      </c>
      <c r="R239" t="s">
        <v>113</v>
      </c>
      <c r="S239" t="s">
        <v>27</v>
      </c>
    </row>
    <row r="240" spans="1:19" x14ac:dyDescent="0.25">
      <c r="A240" t="s">
        <v>26</v>
      </c>
      <c r="B240" t="s">
        <v>850</v>
      </c>
      <c r="C240" t="s">
        <v>850</v>
      </c>
      <c r="D240" t="s">
        <v>185</v>
      </c>
      <c r="E240" t="s">
        <v>851</v>
      </c>
      <c r="F240" t="s">
        <v>47</v>
      </c>
      <c r="G240">
        <v>13068</v>
      </c>
      <c r="H240" t="s">
        <v>76</v>
      </c>
      <c r="I240" s="1">
        <v>46002.856388888889</v>
      </c>
      <c r="J240" t="s">
        <v>49</v>
      </c>
      <c r="K240" t="s">
        <v>757</v>
      </c>
      <c r="L240" t="s">
        <v>757</v>
      </c>
      <c r="M240" t="s">
        <v>757</v>
      </c>
      <c r="N240" t="s">
        <v>757</v>
      </c>
      <c r="O240" t="s">
        <v>88</v>
      </c>
      <c r="P240" t="s">
        <v>51</v>
      </c>
      <c r="Q240">
        <v>197</v>
      </c>
      <c r="R240" t="s">
        <v>52</v>
      </c>
      <c r="S240" t="s">
        <v>27</v>
      </c>
    </row>
    <row r="241" spans="1:19" x14ac:dyDescent="0.25">
      <c r="A241" t="s">
        <v>26</v>
      </c>
      <c r="B241" t="s">
        <v>758</v>
      </c>
      <c r="C241" t="s">
        <v>758</v>
      </c>
      <c r="D241" t="s">
        <v>852</v>
      </c>
      <c r="E241" t="s">
        <v>853</v>
      </c>
      <c r="F241" t="s">
        <v>47</v>
      </c>
      <c r="G241">
        <v>14891</v>
      </c>
      <c r="H241" t="s">
        <v>76</v>
      </c>
      <c r="I241" s="1">
        <v>46003.363333333335</v>
      </c>
      <c r="J241" t="s">
        <v>49</v>
      </c>
      <c r="K241" t="s">
        <v>757</v>
      </c>
      <c r="L241" t="s">
        <v>757</v>
      </c>
      <c r="M241" t="s">
        <v>757</v>
      </c>
      <c r="N241" t="s">
        <v>757</v>
      </c>
      <c r="O241" t="s">
        <v>50</v>
      </c>
      <c r="P241" t="s">
        <v>51</v>
      </c>
      <c r="Q241">
        <v>10000</v>
      </c>
      <c r="R241" t="s">
        <v>52</v>
      </c>
      <c r="S241" t="s">
        <v>27</v>
      </c>
    </row>
    <row r="242" spans="1:19" x14ac:dyDescent="0.25">
      <c r="A242" t="s">
        <v>26</v>
      </c>
      <c r="B242" t="s">
        <v>79</v>
      </c>
      <c r="C242" t="s">
        <v>79</v>
      </c>
      <c r="D242" t="s">
        <v>854</v>
      </c>
      <c r="E242" t="s">
        <v>855</v>
      </c>
      <c r="F242" t="s">
        <v>47</v>
      </c>
      <c r="G242" s="2" t="s">
        <v>856</v>
      </c>
      <c r="H242" t="s">
        <v>58</v>
      </c>
      <c r="I242" s="1">
        <v>46003.373912037037</v>
      </c>
      <c r="J242" t="s">
        <v>49</v>
      </c>
      <c r="K242" t="s">
        <v>757</v>
      </c>
      <c r="L242" t="s">
        <v>757</v>
      </c>
      <c r="M242" t="s">
        <v>757</v>
      </c>
      <c r="N242" t="s">
        <v>757</v>
      </c>
      <c r="O242" t="s">
        <v>77</v>
      </c>
      <c r="P242" t="s">
        <v>103</v>
      </c>
      <c r="Q242">
        <v>1000</v>
      </c>
      <c r="R242" t="s">
        <v>52</v>
      </c>
      <c r="S242" t="s">
        <v>27</v>
      </c>
    </row>
    <row r="243" spans="1:19" x14ac:dyDescent="0.25">
      <c r="A243" t="s">
        <v>26</v>
      </c>
      <c r="B243" t="s">
        <v>391</v>
      </c>
      <c r="C243" t="s">
        <v>391</v>
      </c>
      <c r="D243" t="s">
        <v>857</v>
      </c>
      <c r="E243" t="s">
        <v>858</v>
      </c>
      <c r="F243" t="s">
        <v>47</v>
      </c>
      <c r="G243">
        <v>54891</v>
      </c>
      <c r="H243" t="s">
        <v>324</v>
      </c>
      <c r="I243" s="1">
        <v>46003.415613425925</v>
      </c>
      <c r="J243" t="s">
        <v>49</v>
      </c>
      <c r="K243" t="s">
        <v>757</v>
      </c>
      <c r="L243" t="s">
        <v>757</v>
      </c>
      <c r="M243" t="s">
        <v>757</v>
      </c>
      <c r="N243" t="s">
        <v>757</v>
      </c>
      <c r="O243" t="s">
        <v>50</v>
      </c>
      <c r="P243" t="s">
        <v>51</v>
      </c>
      <c r="Q243">
        <v>10000</v>
      </c>
      <c r="R243" t="s">
        <v>52</v>
      </c>
      <c r="S243" t="s">
        <v>27</v>
      </c>
    </row>
    <row r="244" spans="1:19" x14ac:dyDescent="0.25">
      <c r="A244" t="s">
        <v>26</v>
      </c>
      <c r="B244" t="s">
        <v>859</v>
      </c>
      <c r="C244" t="s">
        <v>859</v>
      </c>
      <c r="D244" t="s">
        <v>860</v>
      </c>
      <c r="E244" t="s">
        <v>861</v>
      </c>
      <c r="F244" t="s">
        <v>47</v>
      </c>
      <c r="G244">
        <v>12919</v>
      </c>
      <c r="H244" t="s">
        <v>76</v>
      </c>
      <c r="I244" s="1">
        <v>46005.830868055556</v>
      </c>
      <c r="J244" t="s">
        <v>49</v>
      </c>
      <c r="K244" t="s">
        <v>757</v>
      </c>
      <c r="L244" t="s">
        <v>757</v>
      </c>
      <c r="M244" t="s">
        <v>757</v>
      </c>
      <c r="N244" t="s">
        <v>757</v>
      </c>
      <c r="O244" t="s">
        <v>88</v>
      </c>
      <c r="P244" t="s">
        <v>216</v>
      </c>
      <c r="Q244">
        <v>22</v>
      </c>
      <c r="R244" t="s">
        <v>52</v>
      </c>
      <c r="S244" t="s">
        <v>27</v>
      </c>
    </row>
    <row r="245" spans="1:19" x14ac:dyDescent="0.25">
      <c r="A245" t="s">
        <v>26</v>
      </c>
      <c r="B245" t="s">
        <v>548</v>
      </c>
      <c r="C245" t="s">
        <v>548</v>
      </c>
      <c r="D245" t="s">
        <v>862</v>
      </c>
      <c r="E245" t="s">
        <v>863</v>
      </c>
      <c r="F245" t="s">
        <v>47</v>
      </c>
      <c r="G245" s="2" t="s">
        <v>864</v>
      </c>
      <c r="H245" t="s">
        <v>176</v>
      </c>
      <c r="I245" s="1">
        <v>46006.371377314812</v>
      </c>
      <c r="J245" t="s">
        <v>49</v>
      </c>
      <c r="K245" t="s">
        <v>757</v>
      </c>
      <c r="L245" t="s">
        <v>757</v>
      </c>
      <c r="M245" t="s">
        <v>757</v>
      </c>
      <c r="N245" t="s">
        <v>757</v>
      </c>
      <c r="O245" t="s">
        <v>225</v>
      </c>
      <c r="P245" t="s">
        <v>300</v>
      </c>
      <c r="Q245">
        <v>200</v>
      </c>
      <c r="R245" t="s">
        <v>113</v>
      </c>
      <c r="S245" t="s">
        <v>27</v>
      </c>
    </row>
    <row r="246" spans="1:19" x14ac:dyDescent="0.25">
      <c r="A246" t="s">
        <v>26</v>
      </c>
      <c r="B246" t="s">
        <v>865</v>
      </c>
      <c r="C246" t="s">
        <v>865</v>
      </c>
      <c r="D246" t="s">
        <v>866</v>
      </c>
      <c r="E246" t="s">
        <v>867</v>
      </c>
      <c r="F246" t="s">
        <v>868</v>
      </c>
      <c r="G246" t="s">
        <v>869</v>
      </c>
      <c r="H246" t="s">
        <v>136</v>
      </c>
      <c r="I246" s="1">
        <v>46006.398912037039</v>
      </c>
      <c r="J246" t="s">
        <v>49</v>
      </c>
      <c r="K246" t="s">
        <v>757</v>
      </c>
      <c r="L246" t="s">
        <v>757</v>
      </c>
      <c r="M246" t="s">
        <v>757</v>
      </c>
      <c r="N246" t="s">
        <v>757</v>
      </c>
      <c r="O246" t="s">
        <v>177</v>
      </c>
      <c r="P246" t="s">
        <v>136</v>
      </c>
      <c r="Q246">
        <v>40</v>
      </c>
      <c r="R246" t="s">
        <v>113</v>
      </c>
      <c r="S246" t="s">
        <v>870</v>
      </c>
    </row>
    <row r="247" spans="1:19" x14ac:dyDescent="0.25">
      <c r="A247" t="s">
        <v>26</v>
      </c>
      <c r="B247" t="s">
        <v>871</v>
      </c>
      <c r="C247" t="s">
        <v>871</v>
      </c>
      <c r="D247" t="s">
        <v>872</v>
      </c>
      <c r="E247" t="s">
        <v>873</v>
      </c>
      <c r="F247" t="s">
        <v>47</v>
      </c>
      <c r="G247">
        <v>12414</v>
      </c>
      <c r="H247" t="s">
        <v>76</v>
      </c>
      <c r="I247" s="1">
        <v>46006.407523148147</v>
      </c>
      <c r="J247" t="s">
        <v>49</v>
      </c>
      <c r="K247" t="s">
        <v>757</v>
      </c>
      <c r="L247" t="s">
        <v>757</v>
      </c>
      <c r="M247" t="s">
        <v>757</v>
      </c>
      <c r="N247" t="s">
        <v>757</v>
      </c>
      <c r="O247" t="s">
        <v>50</v>
      </c>
      <c r="P247" t="s">
        <v>51</v>
      </c>
      <c r="Q247">
        <v>200</v>
      </c>
      <c r="R247" t="s">
        <v>113</v>
      </c>
      <c r="S247" t="s">
        <v>27</v>
      </c>
    </row>
    <row r="248" spans="1:19" x14ac:dyDescent="0.25">
      <c r="A248" t="s">
        <v>26</v>
      </c>
      <c r="B248" t="s">
        <v>874</v>
      </c>
      <c r="C248" t="s">
        <v>874</v>
      </c>
      <c r="D248" t="s">
        <v>875</v>
      </c>
      <c r="E248" t="s">
        <v>876</v>
      </c>
      <c r="F248" t="s">
        <v>877</v>
      </c>
      <c r="G248" s="2" t="s">
        <v>878</v>
      </c>
      <c r="H248" t="s">
        <v>136</v>
      </c>
      <c r="I248" s="1">
        <v>46006.408125000002</v>
      </c>
      <c r="J248" t="s">
        <v>49</v>
      </c>
      <c r="K248" t="s">
        <v>757</v>
      </c>
      <c r="L248" t="s">
        <v>757</v>
      </c>
      <c r="M248" t="s">
        <v>757</v>
      </c>
      <c r="N248" t="s">
        <v>757</v>
      </c>
      <c r="O248" t="s">
        <v>88</v>
      </c>
      <c r="P248" t="s">
        <v>51</v>
      </c>
      <c r="Q248" t="s">
        <v>879</v>
      </c>
      <c r="R248" t="s">
        <v>468</v>
      </c>
      <c r="S248" t="s">
        <v>880</v>
      </c>
    </row>
    <row r="249" spans="1:19" x14ac:dyDescent="0.25">
      <c r="A249" t="s">
        <v>26</v>
      </c>
      <c r="B249" t="s">
        <v>881</v>
      </c>
      <c r="C249" t="s">
        <v>881</v>
      </c>
      <c r="D249" t="s">
        <v>882</v>
      </c>
      <c r="E249" t="s">
        <v>883</v>
      </c>
      <c r="F249" t="s">
        <v>47</v>
      </c>
      <c r="G249">
        <v>53717</v>
      </c>
      <c r="H249" t="s">
        <v>324</v>
      </c>
      <c r="I249" s="1">
        <v>46006.409768518519</v>
      </c>
      <c r="J249" t="s">
        <v>49</v>
      </c>
      <c r="K249" t="s">
        <v>757</v>
      </c>
      <c r="L249" t="s">
        <v>757</v>
      </c>
      <c r="M249" t="s">
        <v>757</v>
      </c>
      <c r="N249" t="s">
        <v>757</v>
      </c>
      <c r="O249" t="s">
        <v>77</v>
      </c>
      <c r="P249" t="s">
        <v>51</v>
      </c>
      <c r="Q249">
        <v>0</v>
      </c>
      <c r="R249" t="s">
        <v>468</v>
      </c>
      <c r="S249" t="s">
        <v>27</v>
      </c>
    </row>
    <row r="250" spans="1:19" x14ac:dyDescent="0.25">
      <c r="A250" t="s">
        <v>26</v>
      </c>
      <c r="B250" t="s">
        <v>884</v>
      </c>
      <c r="C250" t="s">
        <v>884</v>
      </c>
      <c r="D250" t="s">
        <v>885</v>
      </c>
      <c r="E250" t="s">
        <v>886</v>
      </c>
      <c r="F250" t="s">
        <v>47</v>
      </c>
      <c r="G250">
        <v>12525</v>
      </c>
      <c r="H250" t="s">
        <v>76</v>
      </c>
      <c r="I250" s="1">
        <v>46006.415370370371</v>
      </c>
      <c r="J250" t="s">
        <v>49</v>
      </c>
      <c r="K250" t="s">
        <v>757</v>
      </c>
      <c r="L250" t="s">
        <v>757</v>
      </c>
      <c r="M250" t="s">
        <v>757</v>
      </c>
      <c r="N250" t="s">
        <v>757</v>
      </c>
      <c r="O250" t="s">
        <v>136</v>
      </c>
      <c r="P250" t="s">
        <v>51</v>
      </c>
      <c r="Q250">
        <v>0</v>
      </c>
      <c r="R250" t="s">
        <v>113</v>
      </c>
      <c r="S250" t="s">
        <v>27</v>
      </c>
    </row>
    <row r="251" spans="1:19" x14ac:dyDescent="0.25">
      <c r="A251" t="s">
        <v>26</v>
      </c>
      <c r="B251" t="s">
        <v>887</v>
      </c>
      <c r="C251" t="s">
        <v>887</v>
      </c>
      <c r="D251" t="s">
        <v>888</v>
      </c>
      <c r="E251" t="s">
        <v>889</v>
      </c>
      <c r="F251" t="s">
        <v>147</v>
      </c>
      <c r="G251" t="s">
        <v>890</v>
      </c>
      <c r="H251" t="s">
        <v>365</v>
      </c>
      <c r="I251" s="1">
        <v>46006.417881944442</v>
      </c>
      <c r="J251" t="s">
        <v>49</v>
      </c>
      <c r="K251" t="s">
        <v>757</v>
      </c>
      <c r="L251" t="s">
        <v>757</v>
      </c>
      <c r="M251" t="s">
        <v>757</v>
      </c>
      <c r="N251" t="s">
        <v>757</v>
      </c>
      <c r="O251" t="s">
        <v>77</v>
      </c>
      <c r="P251" t="s">
        <v>51</v>
      </c>
      <c r="Q251">
        <v>0</v>
      </c>
      <c r="R251" t="s">
        <v>113</v>
      </c>
      <c r="S251" t="s">
        <v>150</v>
      </c>
    </row>
    <row r="252" spans="1:19" x14ac:dyDescent="0.25">
      <c r="A252" t="s">
        <v>26</v>
      </c>
      <c r="B252" t="s">
        <v>891</v>
      </c>
      <c r="C252" t="s">
        <v>891</v>
      </c>
      <c r="D252" t="s">
        <v>892</v>
      </c>
      <c r="E252" t="s">
        <v>893</v>
      </c>
      <c r="F252" t="s">
        <v>47</v>
      </c>
      <c r="G252">
        <v>54481</v>
      </c>
      <c r="H252" t="s">
        <v>324</v>
      </c>
      <c r="I252" s="1">
        <v>46006.44226851852</v>
      </c>
      <c r="J252" t="s">
        <v>49</v>
      </c>
      <c r="K252" t="s">
        <v>757</v>
      </c>
      <c r="L252" t="s">
        <v>757</v>
      </c>
      <c r="M252" t="s">
        <v>757</v>
      </c>
      <c r="N252" t="s">
        <v>757</v>
      </c>
      <c r="O252" t="s">
        <v>177</v>
      </c>
      <c r="P252" t="s">
        <v>51</v>
      </c>
      <c r="Q252">
        <v>55</v>
      </c>
      <c r="R252" t="s">
        <v>113</v>
      </c>
      <c r="S252" t="s">
        <v>27</v>
      </c>
    </row>
    <row r="253" spans="1:19" x14ac:dyDescent="0.25">
      <c r="A253" t="s">
        <v>26</v>
      </c>
      <c r="B253" t="s">
        <v>152</v>
      </c>
      <c r="C253" t="s">
        <v>152</v>
      </c>
      <c r="D253" t="s">
        <v>894</v>
      </c>
      <c r="E253" t="s">
        <v>895</v>
      </c>
      <c r="F253" t="s">
        <v>47</v>
      </c>
      <c r="G253">
        <v>32060</v>
      </c>
      <c r="H253" t="s">
        <v>896</v>
      </c>
      <c r="I253" s="1">
        <v>46006.478414351855</v>
      </c>
      <c r="J253" t="s">
        <v>49</v>
      </c>
      <c r="K253" t="s">
        <v>757</v>
      </c>
      <c r="L253" t="s">
        <v>757</v>
      </c>
      <c r="M253" t="s">
        <v>757</v>
      </c>
      <c r="N253" t="s">
        <v>757</v>
      </c>
      <c r="O253" t="s">
        <v>93</v>
      </c>
      <c r="P253" t="s">
        <v>51</v>
      </c>
      <c r="Q253">
        <v>300</v>
      </c>
      <c r="R253" t="s">
        <v>113</v>
      </c>
      <c r="S253" t="s">
        <v>27</v>
      </c>
    </row>
    <row r="254" spans="1:19" x14ac:dyDescent="0.25">
      <c r="A254" t="s">
        <v>26</v>
      </c>
      <c r="B254" t="s">
        <v>897</v>
      </c>
      <c r="C254" t="s">
        <v>897</v>
      </c>
      <c r="D254" t="s">
        <v>898</v>
      </c>
      <c r="E254" t="s">
        <v>899</v>
      </c>
      <c r="F254" t="s">
        <v>47</v>
      </c>
      <c r="G254">
        <v>16406</v>
      </c>
      <c r="H254" t="s">
        <v>165</v>
      </c>
      <c r="I254" s="1">
        <v>46006.536747685182</v>
      </c>
      <c r="J254" t="s">
        <v>49</v>
      </c>
      <c r="K254" t="s">
        <v>757</v>
      </c>
      <c r="L254" t="s">
        <v>757</v>
      </c>
      <c r="M254" t="s">
        <v>757</v>
      </c>
      <c r="N254" t="s">
        <v>757</v>
      </c>
      <c r="O254" t="s">
        <v>156</v>
      </c>
      <c r="P254" t="s">
        <v>51</v>
      </c>
      <c r="Q254">
        <v>16</v>
      </c>
      <c r="R254" t="s">
        <v>113</v>
      </c>
      <c r="S254" t="s">
        <v>27</v>
      </c>
    </row>
    <row r="255" spans="1:19" x14ac:dyDescent="0.25">
      <c r="A255" t="s">
        <v>26</v>
      </c>
      <c r="B255" t="s">
        <v>900</v>
      </c>
      <c r="C255" t="s">
        <v>900</v>
      </c>
      <c r="D255" t="s">
        <v>901</v>
      </c>
      <c r="E255" t="s">
        <v>902</v>
      </c>
      <c r="F255" t="s">
        <v>47</v>
      </c>
      <c r="G255">
        <v>12405</v>
      </c>
      <c r="H255" t="s">
        <v>76</v>
      </c>
      <c r="I255" s="1">
        <v>46006.611168981479</v>
      </c>
      <c r="J255" t="s">
        <v>49</v>
      </c>
      <c r="K255" t="s">
        <v>757</v>
      </c>
      <c r="L255" t="s">
        <v>757</v>
      </c>
      <c r="M255" t="s">
        <v>757</v>
      </c>
      <c r="N255" t="s">
        <v>757</v>
      </c>
      <c r="O255" t="s">
        <v>99</v>
      </c>
      <c r="P255" t="s">
        <v>51</v>
      </c>
      <c r="Q255" t="s">
        <v>903</v>
      </c>
      <c r="R255" t="s">
        <v>113</v>
      </c>
      <c r="S255" t="s">
        <v>27</v>
      </c>
    </row>
    <row r="256" spans="1:19" x14ac:dyDescent="0.25">
      <c r="A256" t="s">
        <v>26</v>
      </c>
      <c r="B256" t="s">
        <v>904</v>
      </c>
      <c r="C256" t="s">
        <v>904</v>
      </c>
      <c r="D256" t="s">
        <v>905</v>
      </c>
      <c r="E256" t="s">
        <v>906</v>
      </c>
      <c r="F256" t="s">
        <v>47</v>
      </c>
      <c r="G256">
        <v>20850</v>
      </c>
      <c r="H256" t="s">
        <v>64</v>
      </c>
      <c r="I256" s="1">
        <v>46006.656400462962</v>
      </c>
      <c r="J256" t="s">
        <v>49</v>
      </c>
      <c r="K256" t="s">
        <v>757</v>
      </c>
      <c r="L256" t="s">
        <v>757</v>
      </c>
      <c r="M256" t="s">
        <v>757</v>
      </c>
      <c r="N256" t="s">
        <v>757</v>
      </c>
      <c r="O256" t="s">
        <v>177</v>
      </c>
      <c r="P256" t="s">
        <v>51</v>
      </c>
      <c r="Q256">
        <v>30000</v>
      </c>
      <c r="R256" t="s">
        <v>52</v>
      </c>
      <c r="S256" t="s">
        <v>27</v>
      </c>
    </row>
    <row r="257" spans="1:19" x14ac:dyDescent="0.25">
      <c r="A257" t="s">
        <v>26</v>
      </c>
      <c r="B257" t="s">
        <v>907</v>
      </c>
      <c r="C257" t="s">
        <v>907</v>
      </c>
      <c r="D257" t="s">
        <v>908</v>
      </c>
      <c r="E257" t="s">
        <v>909</v>
      </c>
      <c r="F257" t="s">
        <v>47</v>
      </c>
      <c r="G257">
        <v>14085</v>
      </c>
      <c r="H257" t="s">
        <v>76</v>
      </c>
      <c r="I257" s="1">
        <v>46007.452731481484</v>
      </c>
      <c r="J257" t="s">
        <v>49</v>
      </c>
      <c r="K257" t="s">
        <v>757</v>
      </c>
      <c r="L257" t="s">
        <v>757</v>
      </c>
      <c r="M257" t="s">
        <v>757</v>
      </c>
      <c r="N257" t="s">
        <v>757</v>
      </c>
      <c r="O257" t="s">
        <v>50</v>
      </c>
      <c r="P257" t="s">
        <v>51</v>
      </c>
      <c r="Q257">
        <v>30000</v>
      </c>
      <c r="R257" t="s">
        <v>52</v>
      </c>
      <c r="S257" t="s">
        <v>27</v>
      </c>
    </row>
    <row r="258" spans="1:19" x14ac:dyDescent="0.25">
      <c r="A258" t="s">
        <v>26</v>
      </c>
      <c r="B258" t="s">
        <v>910</v>
      </c>
      <c r="C258" t="s">
        <v>910</v>
      </c>
      <c r="D258" t="s">
        <v>911</v>
      </c>
      <c r="E258" t="s">
        <v>912</v>
      </c>
      <c r="F258" t="s">
        <v>47</v>
      </c>
      <c r="G258">
        <v>12197</v>
      </c>
      <c r="H258" t="s">
        <v>76</v>
      </c>
      <c r="I258" s="1">
        <v>46007.453101851854</v>
      </c>
      <c r="J258" t="s">
        <v>49</v>
      </c>
      <c r="K258" t="s">
        <v>757</v>
      </c>
      <c r="L258" t="s">
        <v>757</v>
      </c>
      <c r="M258" t="s">
        <v>757</v>
      </c>
      <c r="N258" t="s">
        <v>757</v>
      </c>
      <c r="O258" t="s">
        <v>50</v>
      </c>
      <c r="P258" t="s">
        <v>103</v>
      </c>
      <c r="Q258">
        <v>964</v>
      </c>
      <c r="R258" t="s">
        <v>468</v>
      </c>
      <c r="S258" t="s">
        <v>27</v>
      </c>
    </row>
    <row r="259" spans="1:19" x14ac:dyDescent="0.25">
      <c r="A259" t="s">
        <v>26</v>
      </c>
      <c r="B259" t="s">
        <v>218</v>
      </c>
      <c r="C259" t="s">
        <v>218</v>
      </c>
      <c r="D259" t="s">
        <v>913</v>
      </c>
      <c r="E259" t="s">
        <v>914</v>
      </c>
      <c r="F259" t="s">
        <v>47</v>
      </c>
      <c r="G259" s="2" t="s">
        <v>915</v>
      </c>
      <c r="H259" t="s">
        <v>70</v>
      </c>
      <c r="I259" s="1">
        <v>46007.473854166667</v>
      </c>
      <c r="J259" t="s">
        <v>49</v>
      </c>
      <c r="K259" t="s">
        <v>757</v>
      </c>
      <c r="L259" t="s">
        <v>757</v>
      </c>
      <c r="M259" t="s">
        <v>757</v>
      </c>
      <c r="N259" t="s">
        <v>757</v>
      </c>
      <c r="O259" t="s">
        <v>50</v>
      </c>
      <c r="P259" t="s">
        <v>71</v>
      </c>
      <c r="Q259">
        <v>162</v>
      </c>
      <c r="R259" t="s">
        <v>52</v>
      </c>
      <c r="S259" t="s">
        <v>27</v>
      </c>
    </row>
    <row r="260" spans="1:19" x14ac:dyDescent="0.25">
      <c r="A260" t="s">
        <v>26</v>
      </c>
      <c r="B260" t="s">
        <v>916</v>
      </c>
      <c r="C260" t="s">
        <v>916</v>
      </c>
      <c r="D260" t="s">
        <v>917</v>
      </c>
      <c r="E260" t="s">
        <v>918</v>
      </c>
      <c r="F260" t="s">
        <v>47</v>
      </c>
      <c r="G260">
        <v>14850</v>
      </c>
      <c r="H260" t="s">
        <v>76</v>
      </c>
      <c r="I260" s="1">
        <v>46007.480567129627</v>
      </c>
      <c r="J260" t="s">
        <v>49</v>
      </c>
      <c r="K260" t="s">
        <v>757</v>
      </c>
      <c r="L260" t="s">
        <v>757</v>
      </c>
      <c r="M260" t="s">
        <v>757</v>
      </c>
      <c r="N260" t="s">
        <v>757</v>
      </c>
      <c r="O260" t="s">
        <v>156</v>
      </c>
      <c r="P260" t="s">
        <v>103</v>
      </c>
      <c r="Q260">
        <v>1</v>
      </c>
      <c r="R260" t="s">
        <v>52</v>
      </c>
      <c r="S260" t="s">
        <v>27</v>
      </c>
    </row>
    <row r="261" spans="1:19" x14ac:dyDescent="0.25">
      <c r="A261" t="s">
        <v>26</v>
      </c>
      <c r="B261" t="s">
        <v>919</v>
      </c>
      <c r="C261" t="s">
        <v>919</v>
      </c>
      <c r="D261" t="s">
        <v>920</v>
      </c>
      <c r="E261" t="s">
        <v>921</v>
      </c>
      <c r="F261" t="s">
        <v>47</v>
      </c>
      <c r="G261">
        <v>14224</v>
      </c>
      <c r="H261" t="s">
        <v>76</v>
      </c>
      <c r="I261" s="1">
        <v>46007.485266203701</v>
      </c>
      <c r="J261" t="s">
        <v>49</v>
      </c>
      <c r="K261" t="s">
        <v>757</v>
      </c>
      <c r="L261" t="s">
        <v>757</v>
      </c>
      <c r="M261" t="s">
        <v>757</v>
      </c>
      <c r="N261" t="s">
        <v>757</v>
      </c>
      <c r="O261" t="s">
        <v>99</v>
      </c>
      <c r="P261" t="s">
        <v>216</v>
      </c>
      <c r="Q261">
        <v>6</v>
      </c>
      <c r="R261" t="s">
        <v>52</v>
      </c>
      <c r="S261" t="s">
        <v>27</v>
      </c>
    </row>
    <row r="262" spans="1:19" x14ac:dyDescent="0.25">
      <c r="A262" t="s">
        <v>26</v>
      </c>
      <c r="B262" t="s">
        <v>922</v>
      </c>
      <c r="C262" t="s">
        <v>922</v>
      </c>
      <c r="D262" t="s">
        <v>923</v>
      </c>
      <c r="E262" t="s">
        <v>924</v>
      </c>
      <c r="F262" t="s">
        <v>47</v>
      </c>
      <c r="G262">
        <v>40353</v>
      </c>
      <c r="H262" t="s">
        <v>478</v>
      </c>
      <c r="I262" s="1">
        <v>46007.498020833336</v>
      </c>
      <c r="J262" t="s">
        <v>49</v>
      </c>
      <c r="K262" t="s">
        <v>757</v>
      </c>
      <c r="L262" t="s">
        <v>757</v>
      </c>
      <c r="M262" t="s">
        <v>757</v>
      </c>
      <c r="N262" t="s">
        <v>757</v>
      </c>
      <c r="O262" t="s">
        <v>156</v>
      </c>
      <c r="P262" t="s">
        <v>136</v>
      </c>
      <c r="Q262">
        <v>30</v>
      </c>
      <c r="R262" t="s">
        <v>113</v>
      </c>
      <c r="S262" t="s">
        <v>27</v>
      </c>
    </row>
    <row r="263" spans="1:19" x14ac:dyDescent="0.25">
      <c r="A263" t="s">
        <v>26</v>
      </c>
      <c r="B263" t="s">
        <v>925</v>
      </c>
      <c r="C263" t="s">
        <v>925</v>
      </c>
      <c r="D263" t="s">
        <v>926</v>
      </c>
      <c r="E263" t="s">
        <v>927</v>
      </c>
      <c r="F263" t="s">
        <v>47</v>
      </c>
      <c r="G263">
        <v>41056</v>
      </c>
      <c r="H263" t="s">
        <v>478</v>
      </c>
      <c r="I263" s="1">
        <v>46007.508923611109</v>
      </c>
      <c r="J263" t="s">
        <v>49</v>
      </c>
      <c r="K263" t="s">
        <v>757</v>
      </c>
      <c r="L263" t="s">
        <v>757</v>
      </c>
      <c r="M263" t="s">
        <v>757</v>
      </c>
      <c r="N263" t="s">
        <v>757</v>
      </c>
      <c r="O263" t="s">
        <v>77</v>
      </c>
      <c r="P263" t="s">
        <v>136</v>
      </c>
      <c r="Q263" t="s">
        <v>928</v>
      </c>
      <c r="R263" t="s">
        <v>113</v>
      </c>
      <c r="S263" t="s">
        <v>27</v>
      </c>
    </row>
    <row r="264" spans="1:19" x14ac:dyDescent="0.25">
      <c r="A264" t="s">
        <v>26</v>
      </c>
      <c r="B264" t="s">
        <v>403</v>
      </c>
      <c r="C264" t="s">
        <v>403</v>
      </c>
      <c r="D264" t="s">
        <v>929</v>
      </c>
      <c r="E264" t="s">
        <v>930</v>
      </c>
      <c r="F264" t="s">
        <v>47</v>
      </c>
      <c r="G264">
        <v>12561</v>
      </c>
      <c r="H264" t="s">
        <v>76</v>
      </c>
      <c r="I264" s="1">
        <v>46007.593449074076</v>
      </c>
      <c r="J264" t="s">
        <v>49</v>
      </c>
      <c r="K264" t="s">
        <v>757</v>
      </c>
      <c r="L264" t="s">
        <v>757</v>
      </c>
      <c r="M264" t="s">
        <v>757</v>
      </c>
      <c r="N264" t="s">
        <v>757</v>
      </c>
      <c r="O264" t="s">
        <v>77</v>
      </c>
      <c r="P264" t="s">
        <v>51</v>
      </c>
      <c r="Q264">
        <v>40</v>
      </c>
      <c r="R264" t="s">
        <v>52</v>
      </c>
      <c r="S264" t="s">
        <v>27</v>
      </c>
    </row>
    <row r="265" spans="1:19" x14ac:dyDescent="0.25">
      <c r="A265" t="s">
        <v>26</v>
      </c>
      <c r="B265" t="s">
        <v>484</v>
      </c>
      <c r="C265" t="s">
        <v>484</v>
      </c>
      <c r="D265" t="s">
        <v>931</v>
      </c>
      <c r="E265" t="s">
        <v>932</v>
      </c>
      <c r="F265" t="s">
        <v>47</v>
      </c>
      <c r="G265">
        <v>14850</v>
      </c>
      <c r="H265" t="s">
        <v>76</v>
      </c>
      <c r="I265" s="1">
        <v>46007.61791666667</v>
      </c>
      <c r="J265" t="s">
        <v>49</v>
      </c>
      <c r="K265" t="s">
        <v>757</v>
      </c>
      <c r="L265" t="s">
        <v>757</v>
      </c>
      <c r="M265" t="s">
        <v>757</v>
      </c>
      <c r="N265" t="s">
        <v>757</v>
      </c>
      <c r="O265" t="s">
        <v>177</v>
      </c>
      <c r="P265" t="s">
        <v>51</v>
      </c>
      <c r="Q265">
        <v>1</v>
      </c>
      <c r="R265" t="s">
        <v>52</v>
      </c>
      <c r="S265" t="s">
        <v>27</v>
      </c>
    </row>
    <row r="266" spans="1:19" x14ac:dyDescent="0.25">
      <c r="A266" t="s">
        <v>26</v>
      </c>
      <c r="B266" t="s">
        <v>213</v>
      </c>
      <c r="C266" t="s">
        <v>213</v>
      </c>
      <c r="D266" t="s">
        <v>933</v>
      </c>
      <c r="E266" t="s">
        <v>934</v>
      </c>
      <c r="F266" t="s">
        <v>47</v>
      </c>
      <c r="G266">
        <v>14086</v>
      </c>
      <c r="H266" t="s">
        <v>76</v>
      </c>
      <c r="I266" s="1">
        <v>46007.623472222222</v>
      </c>
      <c r="J266" t="s">
        <v>49</v>
      </c>
      <c r="K266" t="s">
        <v>757</v>
      </c>
      <c r="L266" t="s">
        <v>757</v>
      </c>
      <c r="M266" t="s">
        <v>757</v>
      </c>
      <c r="N266" t="s">
        <v>757</v>
      </c>
      <c r="O266" t="s">
        <v>136</v>
      </c>
      <c r="P266" t="s">
        <v>216</v>
      </c>
      <c r="Q266">
        <v>0</v>
      </c>
      <c r="R266" t="s">
        <v>52</v>
      </c>
      <c r="S266" t="s">
        <v>27</v>
      </c>
    </row>
    <row r="267" spans="1:19" x14ac:dyDescent="0.25">
      <c r="A267" t="s">
        <v>26</v>
      </c>
      <c r="B267" t="s">
        <v>935</v>
      </c>
      <c r="C267" t="s">
        <v>935</v>
      </c>
      <c r="D267" t="s">
        <v>936</v>
      </c>
      <c r="E267" t="s">
        <v>937</v>
      </c>
      <c r="F267" t="s">
        <v>47</v>
      </c>
      <c r="G267">
        <v>40475</v>
      </c>
      <c r="H267" t="s">
        <v>478</v>
      </c>
      <c r="I267" s="1">
        <v>46007.65997685185</v>
      </c>
      <c r="J267" t="s">
        <v>49</v>
      </c>
      <c r="K267" t="s">
        <v>757</v>
      </c>
      <c r="L267" t="s">
        <v>757</v>
      </c>
      <c r="M267" t="s">
        <v>757</v>
      </c>
      <c r="N267" t="s">
        <v>757</v>
      </c>
      <c r="O267" t="s">
        <v>77</v>
      </c>
      <c r="P267" t="s">
        <v>51</v>
      </c>
      <c r="Q267">
        <v>0</v>
      </c>
      <c r="R267" t="s">
        <v>113</v>
      </c>
      <c r="S267" t="s">
        <v>27</v>
      </c>
    </row>
    <row r="268" spans="1:19" x14ac:dyDescent="0.25">
      <c r="A268" t="s">
        <v>26</v>
      </c>
      <c r="B268" t="s">
        <v>938</v>
      </c>
      <c r="C268" t="s">
        <v>938</v>
      </c>
      <c r="D268" t="s">
        <v>939</v>
      </c>
      <c r="E268" t="s">
        <v>940</v>
      </c>
      <c r="F268" t="s">
        <v>47</v>
      </c>
      <c r="G268">
        <v>17202</v>
      </c>
      <c r="H268" t="s">
        <v>165</v>
      </c>
      <c r="I268" s="1">
        <v>46007.750960648147</v>
      </c>
      <c r="J268" t="s">
        <v>49</v>
      </c>
      <c r="K268" t="s">
        <v>757</v>
      </c>
      <c r="L268" t="s">
        <v>757</v>
      </c>
      <c r="M268" t="s">
        <v>757</v>
      </c>
      <c r="N268" t="s">
        <v>757</v>
      </c>
      <c r="O268" t="s">
        <v>50</v>
      </c>
      <c r="P268" t="s">
        <v>103</v>
      </c>
      <c r="Q268">
        <v>25</v>
      </c>
      <c r="R268" t="s">
        <v>52</v>
      </c>
      <c r="S268" t="s">
        <v>27</v>
      </c>
    </row>
    <row r="269" spans="1:19" x14ac:dyDescent="0.25">
      <c r="A269" t="s">
        <v>26</v>
      </c>
      <c r="B269" t="s">
        <v>941</v>
      </c>
      <c r="C269" t="s">
        <v>941</v>
      </c>
      <c r="D269" t="s">
        <v>942</v>
      </c>
      <c r="E269" t="s">
        <v>943</v>
      </c>
      <c r="F269" t="s">
        <v>47</v>
      </c>
      <c r="G269">
        <v>41031</v>
      </c>
      <c r="H269" t="s">
        <v>478</v>
      </c>
      <c r="I269" s="1">
        <v>46008.291701388887</v>
      </c>
      <c r="J269" t="s">
        <v>49</v>
      </c>
      <c r="K269" t="s">
        <v>757</v>
      </c>
      <c r="L269" t="s">
        <v>757</v>
      </c>
      <c r="M269" t="s">
        <v>757</v>
      </c>
      <c r="N269" t="s">
        <v>757</v>
      </c>
      <c r="O269" t="s">
        <v>77</v>
      </c>
      <c r="P269" t="s">
        <v>51</v>
      </c>
      <c r="Q269">
        <v>27000</v>
      </c>
      <c r="R269" t="s">
        <v>113</v>
      </c>
      <c r="S269" t="s">
        <v>27</v>
      </c>
    </row>
    <row r="270" spans="1:19" x14ac:dyDescent="0.25">
      <c r="A270" t="s">
        <v>26</v>
      </c>
      <c r="B270" t="s">
        <v>944</v>
      </c>
      <c r="C270" t="s">
        <v>944</v>
      </c>
      <c r="D270" t="s">
        <v>945</v>
      </c>
      <c r="E270" t="s">
        <v>946</v>
      </c>
      <c r="F270" t="s">
        <v>47</v>
      </c>
      <c r="G270">
        <v>14867</v>
      </c>
      <c r="H270" t="s">
        <v>76</v>
      </c>
      <c r="I270" s="1">
        <v>46008.37431712963</v>
      </c>
      <c r="J270" t="s">
        <v>49</v>
      </c>
      <c r="K270" t="s">
        <v>757</v>
      </c>
      <c r="L270" t="s">
        <v>757</v>
      </c>
      <c r="M270" t="s">
        <v>757</v>
      </c>
      <c r="N270" t="s">
        <v>757</v>
      </c>
      <c r="O270" t="s">
        <v>88</v>
      </c>
      <c r="P270" t="s">
        <v>51</v>
      </c>
      <c r="Q270">
        <v>19</v>
      </c>
      <c r="R270" t="s">
        <v>52</v>
      </c>
      <c r="S270" t="s">
        <v>27</v>
      </c>
    </row>
    <row r="271" spans="1:19" x14ac:dyDescent="0.25">
      <c r="A271" t="s">
        <v>26</v>
      </c>
      <c r="B271" t="s">
        <v>947</v>
      </c>
      <c r="C271" t="s">
        <v>947</v>
      </c>
      <c r="D271" t="s">
        <v>948</v>
      </c>
      <c r="E271" t="s">
        <v>949</v>
      </c>
      <c r="F271" t="s">
        <v>47</v>
      </c>
      <c r="G271">
        <v>14850</v>
      </c>
      <c r="H271" t="s">
        <v>76</v>
      </c>
      <c r="I271" s="1">
        <v>46008.456354166665</v>
      </c>
      <c r="J271" t="s">
        <v>49</v>
      </c>
      <c r="K271" t="s">
        <v>757</v>
      </c>
      <c r="L271" t="s">
        <v>757</v>
      </c>
      <c r="M271" t="s">
        <v>757</v>
      </c>
      <c r="N271" t="s">
        <v>757</v>
      </c>
      <c r="O271" t="s">
        <v>156</v>
      </c>
      <c r="P271" t="s">
        <v>51</v>
      </c>
      <c r="Q271">
        <v>0</v>
      </c>
      <c r="R271" t="s">
        <v>468</v>
      </c>
      <c r="S27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F01E-3082-42C8-A851-C4BB3B69F576}">
  <dimension ref="A2:O233"/>
  <sheetViews>
    <sheetView tabSelected="1" workbookViewId="0">
      <selection activeCell="K11" sqref="K11"/>
    </sheetView>
  </sheetViews>
  <sheetFormatPr defaultRowHeight="15" x14ac:dyDescent="0.25"/>
  <cols>
    <col min="4" max="4" width="18.7109375" customWidth="1"/>
    <col min="5" max="5" width="32" customWidth="1"/>
    <col min="6" max="6" width="9.140625" style="4"/>
    <col min="8" max="9" width="14" customWidth="1"/>
    <col min="10" max="10" width="9.140625" style="4"/>
    <col min="13" max="13" width="9.140625" style="4"/>
  </cols>
  <sheetData>
    <row r="2" spans="1:15" x14ac:dyDescent="0.25">
      <c r="D2" s="1"/>
      <c r="E2" s="1"/>
    </row>
    <row r="3" spans="1:15" x14ac:dyDescent="0.25">
      <c r="D3" s="1"/>
      <c r="E3" s="1"/>
    </row>
    <row r="6" spans="1:15" x14ac:dyDescent="0.25">
      <c r="D6" s="1"/>
      <c r="E6" s="1"/>
    </row>
    <row r="7" spans="1:15" x14ac:dyDescent="0.25">
      <c r="D7" s="1"/>
      <c r="E7" s="1"/>
    </row>
    <row r="9" spans="1:15" x14ac:dyDescent="0.25">
      <c r="A9" t="s">
        <v>16</v>
      </c>
      <c r="B9" t="s">
        <v>17</v>
      </c>
      <c r="C9" t="s">
        <v>32</v>
      </c>
      <c r="D9" t="s">
        <v>33</v>
      </c>
      <c r="E9" t="s">
        <v>18</v>
      </c>
      <c r="F9" s="4" t="s">
        <v>35</v>
      </c>
      <c r="G9" t="s">
        <v>36</v>
      </c>
      <c r="H9" t="s">
        <v>19</v>
      </c>
      <c r="I9" t="s">
        <v>20</v>
      </c>
      <c r="J9" s="4" t="s">
        <v>21</v>
      </c>
      <c r="K9" t="s">
        <v>39</v>
      </c>
      <c r="L9" t="s">
        <v>40</v>
      </c>
      <c r="M9" s="4" t="s">
        <v>41</v>
      </c>
      <c r="N9" t="s">
        <v>42</v>
      </c>
      <c r="O9" t="s">
        <v>23</v>
      </c>
    </row>
    <row r="10" spans="1:15" x14ac:dyDescent="0.25">
      <c r="A10" t="s">
        <v>950</v>
      </c>
      <c r="B10" t="s">
        <v>24</v>
      </c>
      <c r="C10" t="s">
        <v>119</v>
      </c>
      <c r="D10" t="s">
        <v>951</v>
      </c>
      <c r="E10" s="3" t="s">
        <v>25</v>
      </c>
      <c r="F10" s="4">
        <v>14853</v>
      </c>
      <c r="G10" t="s">
        <v>76</v>
      </c>
      <c r="H10" s="1" t="s">
        <v>952</v>
      </c>
      <c r="I10" s="1" t="s">
        <v>953</v>
      </c>
      <c r="J10" s="4">
        <v>151</v>
      </c>
      <c r="K10" t="s">
        <v>50</v>
      </c>
      <c r="L10" t="s">
        <v>51</v>
      </c>
      <c r="M10" s="4">
        <v>500000</v>
      </c>
      <c r="N10" t="s">
        <v>52</v>
      </c>
      <c r="O10" t="s">
        <v>27</v>
      </c>
    </row>
    <row r="11" spans="1:15" x14ac:dyDescent="0.25">
      <c r="A11" t="s">
        <v>14</v>
      </c>
      <c r="B11" t="s">
        <v>43</v>
      </c>
      <c r="C11" t="s">
        <v>44</v>
      </c>
      <c r="D11" t="s">
        <v>45</v>
      </c>
      <c r="E11" t="s">
        <v>46</v>
      </c>
      <c r="F11" s="4">
        <v>46774</v>
      </c>
      <c r="G11" t="s">
        <v>48</v>
      </c>
      <c r="H11" s="1" t="s">
        <v>954</v>
      </c>
      <c r="I11" s="1" t="s">
        <v>955</v>
      </c>
      <c r="J11" s="4">
        <v>424</v>
      </c>
      <c r="K11" t="s">
        <v>50</v>
      </c>
      <c r="L11" t="s">
        <v>51</v>
      </c>
      <c r="M11" s="4">
        <v>0</v>
      </c>
      <c r="N11" t="s">
        <v>52</v>
      </c>
      <c r="O11" t="s">
        <v>27</v>
      </c>
    </row>
    <row r="12" spans="1:15" x14ac:dyDescent="0.25">
      <c r="A12" t="s">
        <v>14</v>
      </c>
      <c r="B12" t="s">
        <v>53</v>
      </c>
      <c r="C12" t="s">
        <v>54</v>
      </c>
      <c r="D12" t="s">
        <v>55</v>
      </c>
      <c r="E12" t="s">
        <v>56</v>
      </c>
      <c r="F12" s="5" t="s">
        <v>57</v>
      </c>
      <c r="G12" t="s">
        <v>58</v>
      </c>
      <c r="H12" s="1" t="s">
        <v>956</v>
      </c>
      <c r="I12" s="1" t="s">
        <v>957</v>
      </c>
      <c r="J12" s="4">
        <v>55</v>
      </c>
      <c r="K12" t="s">
        <v>50</v>
      </c>
      <c r="L12" t="s">
        <v>59</v>
      </c>
      <c r="M12" s="4">
        <v>10000</v>
      </c>
      <c r="N12" t="s">
        <v>52</v>
      </c>
      <c r="O12" t="s">
        <v>27</v>
      </c>
    </row>
    <row r="13" spans="1:15" x14ac:dyDescent="0.25">
      <c r="A13" t="s">
        <v>14</v>
      </c>
      <c r="B13" t="s">
        <v>60</v>
      </c>
      <c r="C13" t="s">
        <v>61</v>
      </c>
      <c r="D13" t="s">
        <v>62</v>
      </c>
      <c r="E13" t="s">
        <v>63</v>
      </c>
      <c r="F13" s="4">
        <v>21160</v>
      </c>
      <c r="G13" t="s">
        <v>64</v>
      </c>
      <c r="H13" s="1" t="s">
        <v>958</v>
      </c>
      <c r="I13" s="1" t="s">
        <v>959</v>
      </c>
      <c r="J13" s="4">
        <v>66</v>
      </c>
      <c r="K13" t="s">
        <v>50</v>
      </c>
      <c r="L13" t="s">
        <v>59</v>
      </c>
      <c r="M13" s="4">
        <v>5000</v>
      </c>
      <c r="N13" t="s">
        <v>52</v>
      </c>
      <c r="O13" t="s">
        <v>27</v>
      </c>
    </row>
    <row r="14" spans="1:15" x14ac:dyDescent="0.25">
      <c r="A14" t="s">
        <v>14</v>
      </c>
      <c r="B14" t="s">
        <v>65</v>
      </c>
      <c r="C14" t="s">
        <v>66</v>
      </c>
      <c r="D14" t="s">
        <v>67</v>
      </c>
      <c r="E14" t="s">
        <v>68</v>
      </c>
      <c r="F14" s="5" t="s">
        <v>69</v>
      </c>
      <c r="G14" t="s">
        <v>70</v>
      </c>
      <c r="H14" s="1" t="s">
        <v>960</v>
      </c>
      <c r="I14" s="1" t="s">
        <v>961</v>
      </c>
      <c r="J14" s="4">
        <v>68</v>
      </c>
      <c r="K14" t="s">
        <v>50</v>
      </c>
      <c r="L14" t="s">
        <v>71</v>
      </c>
      <c r="M14" s="4">
        <v>2000</v>
      </c>
      <c r="N14" t="s">
        <v>52</v>
      </c>
      <c r="O14" t="s">
        <v>27</v>
      </c>
    </row>
    <row r="15" spans="1:15" x14ac:dyDescent="0.25">
      <c r="A15" t="s">
        <v>14</v>
      </c>
      <c r="B15" t="s">
        <v>72</v>
      </c>
      <c r="C15" t="s">
        <v>73</v>
      </c>
      <c r="D15" t="s">
        <v>74</v>
      </c>
      <c r="E15" t="s">
        <v>75</v>
      </c>
      <c r="F15" s="4">
        <v>10035</v>
      </c>
      <c r="G15" t="s">
        <v>76</v>
      </c>
      <c r="H15" s="1" t="s">
        <v>962</v>
      </c>
      <c r="I15" s="1" t="s">
        <v>963</v>
      </c>
      <c r="J15" s="4">
        <v>67</v>
      </c>
      <c r="K15" t="s">
        <v>77</v>
      </c>
      <c r="L15" t="s">
        <v>51</v>
      </c>
      <c r="M15" s="4">
        <v>200</v>
      </c>
      <c r="N15" t="s">
        <v>52</v>
      </c>
      <c r="O15" t="s">
        <v>27</v>
      </c>
    </row>
    <row r="16" spans="1:15" x14ac:dyDescent="0.25">
      <c r="A16" t="s">
        <v>14</v>
      </c>
      <c r="B16" t="s">
        <v>78</v>
      </c>
      <c r="C16" t="s">
        <v>79</v>
      </c>
      <c r="D16" t="s">
        <v>80</v>
      </c>
      <c r="E16" t="s">
        <v>81</v>
      </c>
      <c r="F16" s="5" t="s">
        <v>82</v>
      </c>
      <c r="G16" t="s">
        <v>83</v>
      </c>
      <c r="H16" s="1" t="s">
        <v>964</v>
      </c>
      <c r="I16" s="1" t="s">
        <v>961</v>
      </c>
      <c r="J16" s="4">
        <v>53</v>
      </c>
      <c r="K16" t="s">
        <v>50</v>
      </c>
      <c r="L16" t="s">
        <v>71</v>
      </c>
      <c r="M16" s="4">
        <v>50000</v>
      </c>
      <c r="N16" t="s">
        <v>52</v>
      </c>
      <c r="O16" t="s">
        <v>27</v>
      </c>
    </row>
    <row r="17" spans="1:15" x14ac:dyDescent="0.25">
      <c r="A17" t="s">
        <v>14</v>
      </c>
      <c r="B17" t="s">
        <v>84</v>
      </c>
      <c r="C17" t="s">
        <v>85</v>
      </c>
      <c r="D17" t="s">
        <v>86</v>
      </c>
      <c r="E17" t="s">
        <v>87</v>
      </c>
      <c r="F17" s="4">
        <v>12123</v>
      </c>
      <c r="G17" t="s">
        <v>76</v>
      </c>
      <c r="H17" s="1" t="s">
        <v>965</v>
      </c>
      <c r="I17" s="1" t="s">
        <v>966</v>
      </c>
      <c r="J17" s="4">
        <v>63</v>
      </c>
      <c r="K17" t="s">
        <v>88</v>
      </c>
      <c r="L17" t="s">
        <v>51</v>
      </c>
      <c r="M17" s="4">
        <v>5</v>
      </c>
      <c r="N17" t="s">
        <v>52</v>
      </c>
      <c r="O17" t="s">
        <v>27</v>
      </c>
    </row>
    <row r="18" spans="1:15" x14ac:dyDescent="0.25">
      <c r="A18" t="s">
        <v>14</v>
      </c>
      <c r="B18" t="s">
        <v>89</v>
      </c>
      <c r="C18" t="s">
        <v>90</v>
      </c>
      <c r="D18" t="s">
        <v>91</v>
      </c>
      <c r="E18" t="s">
        <v>92</v>
      </c>
      <c r="F18" s="4">
        <v>12157</v>
      </c>
      <c r="G18" t="s">
        <v>76</v>
      </c>
      <c r="H18" s="1" t="s">
        <v>967</v>
      </c>
      <c r="I18" s="1" t="s">
        <v>961</v>
      </c>
      <c r="J18" s="4">
        <v>61</v>
      </c>
      <c r="K18" t="s">
        <v>93</v>
      </c>
      <c r="L18" t="s">
        <v>51</v>
      </c>
      <c r="M18" s="4">
        <v>101</v>
      </c>
      <c r="N18" t="s">
        <v>52</v>
      </c>
      <c r="O18" t="s">
        <v>27</v>
      </c>
    </row>
    <row r="19" spans="1:15" x14ac:dyDescent="0.25">
      <c r="A19" t="s">
        <v>14</v>
      </c>
      <c r="B19" t="s">
        <v>94</v>
      </c>
      <c r="C19" t="s">
        <v>95</v>
      </c>
      <c r="D19" t="s">
        <v>96</v>
      </c>
      <c r="E19" t="s">
        <v>97</v>
      </c>
      <c r="F19" s="4">
        <v>20175</v>
      </c>
      <c r="G19" t="s">
        <v>98</v>
      </c>
      <c r="H19" s="1" t="s">
        <v>968</v>
      </c>
      <c r="I19" s="1" t="s">
        <v>969</v>
      </c>
      <c r="J19" s="4">
        <v>55</v>
      </c>
      <c r="K19" t="s">
        <v>99</v>
      </c>
      <c r="L19" t="s">
        <v>51</v>
      </c>
      <c r="M19" s="4">
        <v>1</v>
      </c>
      <c r="N19" t="s">
        <v>52</v>
      </c>
      <c r="O19" t="s">
        <v>27</v>
      </c>
    </row>
    <row r="20" spans="1:15" x14ac:dyDescent="0.25">
      <c r="A20" t="s">
        <v>14</v>
      </c>
      <c r="B20" t="s">
        <v>100</v>
      </c>
      <c r="C20" t="s">
        <v>73</v>
      </c>
      <c r="D20" t="s">
        <v>101</v>
      </c>
      <c r="E20" t="s">
        <v>102</v>
      </c>
      <c r="F20" s="4">
        <v>13846</v>
      </c>
      <c r="G20" t="s">
        <v>76</v>
      </c>
      <c r="H20" s="1" t="s">
        <v>970</v>
      </c>
      <c r="I20" s="1" t="s">
        <v>971</v>
      </c>
      <c r="J20" s="4">
        <v>62</v>
      </c>
      <c r="K20" t="s">
        <v>50</v>
      </c>
      <c r="L20" t="s">
        <v>103</v>
      </c>
      <c r="M20" s="4">
        <v>10000</v>
      </c>
      <c r="N20" t="s">
        <v>52</v>
      </c>
      <c r="O20" t="s">
        <v>27</v>
      </c>
    </row>
    <row r="21" spans="1:15" x14ac:dyDescent="0.25">
      <c r="A21" t="s">
        <v>14</v>
      </c>
      <c r="B21" t="s">
        <v>104</v>
      </c>
      <c r="C21" t="s">
        <v>105</v>
      </c>
      <c r="D21" t="s">
        <v>106</v>
      </c>
      <c r="E21" t="s">
        <v>107</v>
      </c>
      <c r="F21" s="4">
        <v>12983</v>
      </c>
      <c r="G21" t="s">
        <v>76</v>
      </c>
      <c r="H21" s="1" t="s">
        <v>972</v>
      </c>
      <c r="I21" s="1" t="s">
        <v>973</v>
      </c>
      <c r="J21" s="4">
        <v>45</v>
      </c>
      <c r="K21" t="s">
        <v>77</v>
      </c>
      <c r="L21" t="s">
        <v>51</v>
      </c>
      <c r="M21" s="4">
        <v>0</v>
      </c>
      <c r="N21" t="s">
        <v>52</v>
      </c>
      <c r="O21" t="s">
        <v>27</v>
      </c>
    </row>
    <row r="22" spans="1:15" x14ac:dyDescent="0.25">
      <c r="A22" t="s">
        <v>14</v>
      </c>
      <c r="B22" t="s">
        <v>108</v>
      </c>
      <c r="C22" t="s">
        <v>109</v>
      </c>
      <c r="D22" t="s">
        <v>110</v>
      </c>
      <c r="E22" t="s">
        <v>111</v>
      </c>
      <c r="F22" s="5" t="s">
        <v>112</v>
      </c>
      <c r="G22" t="s">
        <v>70</v>
      </c>
      <c r="H22" s="1" t="s">
        <v>974</v>
      </c>
      <c r="I22" s="1" t="s">
        <v>975</v>
      </c>
      <c r="J22" s="4">
        <v>65</v>
      </c>
      <c r="K22" t="s">
        <v>50</v>
      </c>
      <c r="L22" t="s">
        <v>59</v>
      </c>
      <c r="M22" s="4">
        <v>1000</v>
      </c>
      <c r="N22" t="s">
        <v>113</v>
      </c>
      <c r="O22" t="s">
        <v>27</v>
      </c>
    </row>
    <row r="23" spans="1:15" x14ac:dyDescent="0.25">
      <c r="A23" t="s">
        <v>14</v>
      </c>
      <c r="B23" t="s">
        <v>114</v>
      </c>
      <c r="C23" t="s">
        <v>115</v>
      </c>
      <c r="D23" t="s">
        <v>116</v>
      </c>
      <c r="E23" t="s">
        <v>117</v>
      </c>
      <c r="F23" s="4">
        <v>10940</v>
      </c>
      <c r="G23" t="s">
        <v>76</v>
      </c>
      <c r="H23" s="1" t="s">
        <v>976</v>
      </c>
      <c r="I23" s="1" t="s">
        <v>961</v>
      </c>
      <c r="J23" s="4">
        <v>64</v>
      </c>
      <c r="K23" t="s">
        <v>88</v>
      </c>
      <c r="L23" t="s">
        <v>51</v>
      </c>
      <c r="M23" s="4">
        <v>45</v>
      </c>
      <c r="N23" t="s">
        <v>52</v>
      </c>
      <c r="O23" t="s">
        <v>27</v>
      </c>
    </row>
    <row r="24" spans="1:15" x14ac:dyDescent="0.25">
      <c r="A24" t="s">
        <v>14</v>
      </c>
      <c r="B24" t="s">
        <v>118</v>
      </c>
      <c r="C24" t="s">
        <v>119</v>
      </c>
      <c r="D24" t="s">
        <v>120</v>
      </c>
      <c r="E24" t="s">
        <v>121</v>
      </c>
      <c r="F24" s="5" t="s">
        <v>122</v>
      </c>
      <c r="G24" t="s">
        <v>123</v>
      </c>
      <c r="H24" s="1" t="s">
        <v>977</v>
      </c>
      <c r="I24" s="1" t="s">
        <v>978</v>
      </c>
      <c r="J24" s="4">
        <v>64</v>
      </c>
      <c r="K24" t="s">
        <v>88</v>
      </c>
      <c r="L24" t="s">
        <v>51</v>
      </c>
      <c r="M24" s="4">
        <v>25</v>
      </c>
      <c r="N24" t="s">
        <v>113</v>
      </c>
      <c r="O24" t="s">
        <v>27</v>
      </c>
    </row>
    <row r="25" spans="1:15" x14ac:dyDescent="0.25">
      <c r="A25" t="s">
        <v>14</v>
      </c>
      <c r="B25" t="s">
        <v>124</v>
      </c>
      <c r="C25" t="s">
        <v>125</v>
      </c>
      <c r="D25" t="s">
        <v>126</v>
      </c>
      <c r="E25" t="s">
        <v>127</v>
      </c>
      <c r="F25" s="4">
        <v>12065</v>
      </c>
      <c r="G25" t="s">
        <v>76</v>
      </c>
      <c r="H25" s="1" t="s">
        <v>979</v>
      </c>
      <c r="I25" s="1" t="s">
        <v>980</v>
      </c>
      <c r="J25" s="4">
        <v>64</v>
      </c>
      <c r="K25" t="s">
        <v>77</v>
      </c>
      <c r="L25" t="s">
        <v>51</v>
      </c>
      <c r="M25" s="4">
        <v>0</v>
      </c>
      <c r="N25" t="s">
        <v>113</v>
      </c>
      <c r="O25" t="s">
        <v>27</v>
      </c>
    </row>
    <row r="26" spans="1:15" x14ac:dyDescent="0.25">
      <c r="A26" t="s">
        <v>14</v>
      </c>
      <c r="B26" t="s">
        <v>128</v>
      </c>
      <c r="C26" t="s">
        <v>129</v>
      </c>
      <c r="D26" t="s">
        <v>130</v>
      </c>
      <c r="E26" t="s">
        <v>131</v>
      </c>
      <c r="F26" s="5" t="s">
        <v>132</v>
      </c>
      <c r="G26" t="s">
        <v>123</v>
      </c>
      <c r="H26" s="1" t="s">
        <v>981</v>
      </c>
      <c r="I26" s="1" t="s">
        <v>982</v>
      </c>
      <c r="J26" s="4">
        <v>67</v>
      </c>
      <c r="K26" t="s">
        <v>93</v>
      </c>
      <c r="L26" t="s">
        <v>51</v>
      </c>
      <c r="M26" s="4">
        <v>26</v>
      </c>
      <c r="N26" t="s">
        <v>113</v>
      </c>
      <c r="O26" t="s">
        <v>27</v>
      </c>
    </row>
    <row r="27" spans="1:15" x14ac:dyDescent="0.25">
      <c r="A27" t="s">
        <v>14</v>
      </c>
      <c r="B27" t="s">
        <v>133</v>
      </c>
      <c r="C27" t="s">
        <v>119</v>
      </c>
      <c r="D27" t="s">
        <v>134</v>
      </c>
      <c r="E27" t="s">
        <v>135</v>
      </c>
      <c r="F27" s="4">
        <v>14850</v>
      </c>
      <c r="G27" t="s">
        <v>76</v>
      </c>
      <c r="H27" s="1" t="s">
        <v>983</v>
      </c>
      <c r="I27" s="1" t="s">
        <v>984</v>
      </c>
      <c r="J27" s="4">
        <v>64</v>
      </c>
      <c r="K27" t="s">
        <v>136</v>
      </c>
      <c r="L27" t="s">
        <v>51</v>
      </c>
      <c r="M27" s="4">
        <v>0</v>
      </c>
      <c r="N27" t="s">
        <v>52</v>
      </c>
      <c r="O27" t="s">
        <v>27</v>
      </c>
    </row>
    <row r="28" spans="1:15" x14ac:dyDescent="0.25">
      <c r="A28" t="s">
        <v>14</v>
      </c>
      <c r="B28" t="s">
        <v>137</v>
      </c>
      <c r="C28" t="s">
        <v>138</v>
      </c>
      <c r="D28" t="s">
        <v>139</v>
      </c>
      <c r="E28" t="s">
        <v>140</v>
      </c>
      <c r="F28" s="5" t="s">
        <v>141</v>
      </c>
      <c r="G28" t="s">
        <v>142</v>
      </c>
      <c r="H28" s="1" t="s">
        <v>985</v>
      </c>
      <c r="I28" s="1" t="s">
        <v>986</v>
      </c>
      <c r="J28" s="4">
        <v>58</v>
      </c>
      <c r="K28" t="s">
        <v>50</v>
      </c>
      <c r="L28" t="s">
        <v>71</v>
      </c>
      <c r="M28" s="4">
        <v>1000</v>
      </c>
      <c r="N28" t="s">
        <v>52</v>
      </c>
      <c r="O28" t="s">
        <v>27</v>
      </c>
    </row>
    <row r="29" spans="1:15" x14ac:dyDescent="0.25">
      <c r="A29" t="s">
        <v>14</v>
      </c>
      <c r="B29" t="s">
        <v>143</v>
      </c>
      <c r="C29" t="s">
        <v>144</v>
      </c>
      <c r="D29" t="s">
        <v>145</v>
      </c>
      <c r="E29" t="s">
        <v>146</v>
      </c>
      <c r="F29" s="4" t="s">
        <v>148</v>
      </c>
      <c r="G29" t="s">
        <v>149</v>
      </c>
      <c r="H29" s="1" t="s">
        <v>987</v>
      </c>
      <c r="I29" s="1" t="s">
        <v>961</v>
      </c>
      <c r="J29" s="4">
        <v>482</v>
      </c>
      <c r="K29" t="s">
        <v>50</v>
      </c>
      <c r="L29" t="s">
        <v>51</v>
      </c>
      <c r="M29" s="4">
        <v>1000</v>
      </c>
      <c r="N29" t="s">
        <v>52</v>
      </c>
      <c r="O29" t="s">
        <v>150</v>
      </c>
    </row>
    <row r="30" spans="1:15" x14ac:dyDescent="0.25">
      <c r="A30" t="s">
        <v>14</v>
      </c>
      <c r="B30" t="s">
        <v>151</v>
      </c>
      <c r="C30" t="s">
        <v>152</v>
      </c>
      <c r="D30" t="s">
        <v>153</v>
      </c>
      <c r="E30" t="s">
        <v>154</v>
      </c>
      <c r="F30" s="4">
        <v>83703</v>
      </c>
      <c r="G30" t="s">
        <v>155</v>
      </c>
      <c r="H30" s="1" t="s">
        <v>988</v>
      </c>
      <c r="I30" s="1" t="s">
        <v>989</v>
      </c>
      <c r="J30" s="4">
        <v>69</v>
      </c>
      <c r="K30" t="s">
        <v>156</v>
      </c>
      <c r="L30" t="s">
        <v>103</v>
      </c>
      <c r="M30" s="4">
        <v>0</v>
      </c>
      <c r="N30" t="s">
        <v>52</v>
      </c>
      <c r="O30" t="s">
        <v>27</v>
      </c>
    </row>
    <row r="31" spans="1:15" x14ac:dyDescent="0.25">
      <c r="A31" t="s">
        <v>14</v>
      </c>
      <c r="B31" t="s">
        <v>157</v>
      </c>
      <c r="C31" t="s">
        <v>158</v>
      </c>
      <c r="D31" t="s">
        <v>159</v>
      </c>
      <c r="E31" t="s">
        <v>160</v>
      </c>
      <c r="F31" s="4">
        <v>14850</v>
      </c>
      <c r="G31" t="s">
        <v>76</v>
      </c>
      <c r="H31" s="1" t="s">
        <v>990</v>
      </c>
      <c r="I31" s="1" t="s">
        <v>991</v>
      </c>
      <c r="J31" s="4">
        <v>50</v>
      </c>
      <c r="K31" t="s">
        <v>88</v>
      </c>
      <c r="L31" t="s">
        <v>136</v>
      </c>
      <c r="M31" s="4">
        <v>170</v>
      </c>
      <c r="N31" t="s">
        <v>113</v>
      </c>
      <c r="O31" t="s">
        <v>27</v>
      </c>
    </row>
    <row r="32" spans="1:15" x14ac:dyDescent="0.25">
      <c r="A32" t="s">
        <v>14</v>
      </c>
      <c r="B32" t="s">
        <v>161</v>
      </c>
      <c r="C32" t="s">
        <v>162</v>
      </c>
      <c r="D32" t="s">
        <v>163</v>
      </c>
      <c r="E32" t="s">
        <v>164</v>
      </c>
      <c r="F32" s="4">
        <v>16354</v>
      </c>
      <c r="G32" t="s">
        <v>165</v>
      </c>
      <c r="H32" s="1" t="s">
        <v>992</v>
      </c>
      <c r="I32" s="1" t="s">
        <v>993</v>
      </c>
      <c r="J32" s="4">
        <v>78</v>
      </c>
      <c r="K32" t="s">
        <v>50</v>
      </c>
      <c r="L32" t="s">
        <v>103</v>
      </c>
      <c r="M32" s="4">
        <v>3000</v>
      </c>
      <c r="N32" t="s">
        <v>52</v>
      </c>
      <c r="O32" t="s">
        <v>27</v>
      </c>
    </row>
    <row r="33" spans="1:15" x14ac:dyDescent="0.25">
      <c r="A33" t="s">
        <v>14</v>
      </c>
      <c r="B33" t="s">
        <v>166</v>
      </c>
      <c r="C33" t="s">
        <v>167</v>
      </c>
      <c r="D33" t="s">
        <v>167</v>
      </c>
      <c r="E33" t="s">
        <v>168</v>
      </c>
      <c r="F33" s="5" t="s">
        <v>169</v>
      </c>
      <c r="G33" t="s">
        <v>170</v>
      </c>
      <c r="H33" s="1" t="s">
        <v>994</v>
      </c>
      <c r="I33" s="1" t="s">
        <v>995</v>
      </c>
      <c r="J33" s="4">
        <v>69</v>
      </c>
      <c r="K33" t="s">
        <v>50</v>
      </c>
      <c r="L33" t="s">
        <v>59</v>
      </c>
      <c r="M33" s="4">
        <v>60</v>
      </c>
      <c r="N33" t="s">
        <v>113</v>
      </c>
      <c r="O33" t="s">
        <v>27</v>
      </c>
    </row>
    <row r="34" spans="1:15" x14ac:dyDescent="0.25">
      <c r="A34" t="s">
        <v>14</v>
      </c>
      <c r="B34" t="s">
        <v>171</v>
      </c>
      <c r="C34" t="s">
        <v>172</v>
      </c>
      <c r="D34" t="s">
        <v>173</v>
      </c>
      <c r="E34" t="s">
        <v>174</v>
      </c>
      <c r="F34" s="5" t="s">
        <v>175</v>
      </c>
      <c r="G34" t="s">
        <v>176</v>
      </c>
      <c r="H34" s="1" t="s">
        <v>996</v>
      </c>
      <c r="I34" s="1" t="s">
        <v>997</v>
      </c>
      <c r="J34" s="4">
        <v>120</v>
      </c>
      <c r="K34" t="s">
        <v>177</v>
      </c>
      <c r="L34" t="s">
        <v>51</v>
      </c>
      <c r="M34" s="4">
        <v>30</v>
      </c>
      <c r="N34" t="s">
        <v>52</v>
      </c>
      <c r="O34" t="s">
        <v>27</v>
      </c>
    </row>
    <row r="35" spans="1:15" x14ac:dyDescent="0.25">
      <c r="A35" t="s">
        <v>14</v>
      </c>
      <c r="B35" t="s">
        <v>178</v>
      </c>
      <c r="C35" t="s">
        <v>179</v>
      </c>
      <c r="D35" t="s">
        <v>180</v>
      </c>
      <c r="E35" t="s">
        <v>181</v>
      </c>
      <c r="F35" s="4">
        <v>65803</v>
      </c>
      <c r="G35" t="s">
        <v>182</v>
      </c>
      <c r="H35" s="1" t="s">
        <v>998</v>
      </c>
      <c r="I35" s="1" t="s">
        <v>999</v>
      </c>
      <c r="J35" s="4">
        <v>69</v>
      </c>
      <c r="K35" t="s">
        <v>77</v>
      </c>
      <c r="L35" t="s">
        <v>103</v>
      </c>
      <c r="M35" s="4">
        <v>0</v>
      </c>
      <c r="N35" t="s">
        <v>52</v>
      </c>
      <c r="O35" t="s">
        <v>27</v>
      </c>
    </row>
    <row r="36" spans="1:15" x14ac:dyDescent="0.25">
      <c r="A36" t="s">
        <v>14</v>
      </c>
      <c r="B36" t="s">
        <v>183</v>
      </c>
      <c r="C36" t="s">
        <v>184</v>
      </c>
      <c r="D36" t="s">
        <v>185</v>
      </c>
      <c r="E36" t="s">
        <v>186</v>
      </c>
      <c r="F36" s="4">
        <v>10507</v>
      </c>
      <c r="G36" t="s">
        <v>76</v>
      </c>
      <c r="H36" s="1" t="s">
        <v>1000</v>
      </c>
      <c r="I36" s="1" t="s">
        <v>1001</v>
      </c>
      <c r="J36" s="4">
        <v>86</v>
      </c>
      <c r="K36" t="s">
        <v>77</v>
      </c>
      <c r="L36" t="s">
        <v>136</v>
      </c>
      <c r="M36" s="4" t="s">
        <v>187</v>
      </c>
      <c r="N36" t="s">
        <v>113</v>
      </c>
      <c r="O36" t="s">
        <v>27</v>
      </c>
    </row>
    <row r="37" spans="1:15" x14ac:dyDescent="0.25">
      <c r="A37" t="s">
        <v>14</v>
      </c>
      <c r="B37" t="s">
        <v>188</v>
      </c>
      <c r="C37" t="s">
        <v>189</v>
      </c>
      <c r="D37" t="s">
        <v>190</v>
      </c>
      <c r="E37" t="s">
        <v>191</v>
      </c>
      <c r="F37" s="4">
        <v>12946</v>
      </c>
      <c r="G37" t="s">
        <v>76</v>
      </c>
      <c r="H37" s="1" t="s">
        <v>1002</v>
      </c>
      <c r="I37" s="1" t="s">
        <v>1003</v>
      </c>
      <c r="J37" s="4">
        <v>54</v>
      </c>
      <c r="K37" t="s">
        <v>99</v>
      </c>
      <c r="L37" t="s">
        <v>51</v>
      </c>
      <c r="M37" s="4">
        <v>350</v>
      </c>
      <c r="N37" t="s">
        <v>52</v>
      </c>
      <c r="O37" t="s">
        <v>27</v>
      </c>
    </row>
    <row r="38" spans="1:15" x14ac:dyDescent="0.25">
      <c r="A38" t="s">
        <v>14</v>
      </c>
      <c r="B38" t="s">
        <v>192</v>
      </c>
      <c r="C38" t="s">
        <v>193</v>
      </c>
      <c r="D38" t="s">
        <v>194</v>
      </c>
      <c r="E38" t="s">
        <v>195</v>
      </c>
      <c r="F38" s="4">
        <v>17737</v>
      </c>
      <c r="G38" t="s">
        <v>165</v>
      </c>
      <c r="H38" s="1" t="s">
        <v>1004</v>
      </c>
      <c r="I38" s="1" t="s">
        <v>961</v>
      </c>
      <c r="J38" s="4">
        <v>68</v>
      </c>
      <c r="K38" t="s">
        <v>50</v>
      </c>
      <c r="L38" t="s">
        <v>103</v>
      </c>
      <c r="M38" s="4">
        <v>30000</v>
      </c>
      <c r="N38" t="s">
        <v>52</v>
      </c>
      <c r="O38" t="s">
        <v>27</v>
      </c>
    </row>
    <row r="39" spans="1:15" x14ac:dyDescent="0.25">
      <c r="A39" t="s">
        <v>14</v>
      </c>
      <c r="B39" t="s">
        <v>196</v>
      </c>
      <c r="C39" t="s">
        <v>197</v>
      </c>
      <c r="D39" t="s">
        <v>198</v>
      </c>
      <c r="E39" t="s">
        <v>199</v>
      </c>
      <c r="F39" s="4">
        <v>21620</v>
      </c>
      <c r="G39" t="s">
        <v>64</v>
      </c>
      <c r="H39" s="1" t="s">
        <v>1005</v>
      </c>
      <c r="I39" s="1" t="s">
        <v>1006</v>
      </c>
      <c r="J39" s="4">
        <v>64</v>
      </c>
      <c r="K39" t="s">
        <v>50</v>
      </c>
      <c r="L39" t="s">
        <v>71</v>
      </c>
      <c r="M39" s="4">
        <v>500</v>
      </c>
      <c r="N39" t="s">
        <v>52</v>
      </c>
      <c r="O39" t="s">
        <v>27</v>
      </c>
    </row>
    <row r="40" spans="1:15" x14ac:dyDescent="0.25">
      <c r="A40" t="s">
        <v>14</v>
      </c>
      <c r="B40" t="s">
        <v>200</v>
      </c>
      <c r="C40" t="s">
        <v>109</v>
      </c>
      <c r="D40" t="s">
        <v>201</v>
      </c>
      <c r="E40" t="s">
        <v>202</v>
      </c>
      <c r="F40" s="4">
        <v>14701</v>
      </c>
      <c r="G40" t="s">
        <v>76</v>
      </c>
      <c r="H40" s="1" t="s">
        <v>1007</v>
      </c>
      <c r="I40" s="1" t="s">
        <v>961</v>
      </c>
      <c r="J40" s="4">
        <v>75</v>
      </c>
      <c r="K40" t="s">
        <v>50</v>
      </c>
      <c r="L40" t="s">
        <v>103</v>
      </c>
      <c r="M40" s="4">
        <v>500</v>
      </c>
      <c r="N40" t="s">
        <v>52</v>
      </c>
      <c r="O40" t="s">
        <v>27</v>
      </c>
    </row>
    <row r="41" spans="1:15" x14ac:dyDescent="0.25">
      <c r="A41" t="s">
        <v>14</v>
      </c>
      <c r="B41" t="s">
        <v>203</v>
      </c>
      <c r="C41" t="s">
        <v>204</v>
      </c>
      <c r="D41" t="s">
        <v>205</v>
      </c>
      <c r="E41" t="s">
        <v>206</v>
      </c>
      <c r="F41" s="4">
        <v>4487</v>
      </c>
      <c r="G41" t="s">
        <v>170</v>
      </c>
      <c r="H41" s="1" t="s">
        <v>1008</v>
      </c>
      <c r="I41" s="1" t="s">
        <v>1009</v>
      </c>
      <c r="J41" s="4">
        <v>74</v>
      </c>
      <c r="K41" t="s">
        <v>50</v>
      </c>
      <c r="L41" t="s">
        <v>51</v>
      </c>
      <c r="M41" s="4">
        <v>4000</v>
      </c>
      <c r="N41" t="s">
        <v>52</v>
      </c>
      <c r="O41" t="s">
        <v>27</v>
      </c>
    </row>
    <row r="42" spans="1:15" x14ac:dyDescent="0.25">
      <c r="A42" t="s">
        <v>14</v>
      </c>
      <c r="B42" t="s">
        <v>207</v>
      </c>
      <c r="C42" t="s">
        <v>208</v>
      </c>
      <c r="D42" t="s">
        <v>209</v>
      </c>
      <c r="E42" t="s">
        <v>210</v>
      </c>
      <c r="F42" s="4">
        <v>27896</v>
      </c>
      <c r="G42" t="s">
        <v>211</v>
      </c>
      <c r="H42" s="1" t="s">
        <v>1010</v>
      </c>
      <c r="I42" s="1" t="s">
        <v>1011</v>
      </c>
      <c r="J42" s="4">
        <v>74</v>
      </c>
      <c r="K42" t="s">
        <v>50</v>
      </c>
      <c r="L42" t="s">
        <v>59</v>
      </c>
      <c r="M42" s="4">
        <v>3000</v>
      </c>
      <c r="N42" t="s">
        <v>52</v>
      </c>
      <c r="O42" t="s">
        <v>27</v>
      </c>
    </row>
    <row r="43" spans="1:15" x14ac:dyDescent="0.25">
      <c r="A43" t="s">
        <v>14</v>
      </c>
      <c r="B43" t="s">
        <v>212</v>
      </c>
      <c r="C43" t="s">
        <v>213</v>
      </c>
      <c r="D43" t="s">
        <v>214</v>
      </c>
      <c r="E43" t="s">
        <v>215</v>
      </c>
      <c r="F43" s="4">
        <v>12431</v>
      </c>
      <c r="G43" t="s">
        <v>76</v>
      </c>
      <c r="H43" s="1" t="s">
        <v>1012</v>
      </c>
      <c r="I43" s="1" t="s">
        <v>961</v>
      </c>
      <c r="J43" s="4">
        <v>61</v>
      </c>
      <c r="K43" t="s">
        <v>136</v>
      </c>
      <c r="L43" t="s">
        <v>216</v>
      </c>
      <c r="M43" s="4">
        <v>110</v>
      </c>
      <c r="N43" t="s">
        <v>52</v>
      </c>
      <c r="O43" t="s">
        <v>27</v>
      </c>
    </row>
    <row r="44" spans="1:15" x14ac:dyDescent="0.25">
      <c r="A44" t="s">
        <v>14</v>
      </c>
      <c r="B44" t="s">
        <v>217</v>
      </c>
      <c r="C44" t="s">
        <v>218</v>
      </c>
      <c r="D44" t="s">
        <v>219</v>
      </c>
      <c r="E44" t="s">
        <v>220</v>
      </c>
      <c r="F44" s="4">
        <v>14424</v>
      </c>
      <c r="G44" t="s">
        <v>76</v>
      </c>
      <c r="H44" s="1" t="s">
        <v>1013</v>
      </c>
      <c r="I44" s="1" t="s">
        <v>961</v>
      </c>
      <c r="J44" s="4">
        <v>59</v>
      </c>
      <c r="K44" t="s">
        <v>88</v>
      </c>
      <c r="L44" t="s">
        <v>51</v>
      </c>
      <c r="M44" s="4">
        <v>32</v>
      </c>
      <c r="N44" t="s">
        <v>52</v>
      </c>
      <c r="O44" t="s">
        <v>27</v>
      </c>
    </row>
    <row r="45" spans="1:15" x14ac:dyDescent="0.25">
      <c r="A45" t="s">
        <v>14</v>
      </c>
      <c r="B45" t="s">
        <v>221</v>
      </c>
      <c r="C45" t="s">
        <v>222</v>
      </c>
      <c r="D45" t="s">
        <v>223</v>
      </c>
      <c r="E45" t="s">
        <v>224</v>
      </c>
      <c r="F45" s="4">
        <v>14541</v>
      </c>
      <c r="G45" t="s">
        <v>76</v>
      </c>
      <c r="H45" s="1" t="s">
        <v>1014</v>
      </c>
      <c r="I45" s="1" t="s">
        <v>961</v>
      </c>
      <c r="J45" s="4">
        <v>67</v>
      </c>
      <c r="K45" t="s">
        <v>225</v>
      </c>
      <c r="L45" t="s">
        <v>216</v>
      </c>
      <c r="M45" s="4">
        <v>75</v>
      </c>
      <c r="N45" t="s">
        <v>52</v>
      </c>
      <c r="O45" t="s">
        <v>27</v>
      </c>
    </row>
    <row r="46" spans="1:15" x14ac:dyDescent="0.25">
      <c r="A46" t="s">
        <v>14</v>
      </c>
      <c r="B46" t="s">
        <v>226</v>
      </c>
      <c r="C46" t="s">
        <v>227</v>
      </c>
      <c r="D46" t="s">
        <v>228</v>
      </c>
      <c r="E46" t="s">
        <v>229</v>
      </c>
      <c r="F46" s="5" t="s">
        <v>82</v>
      </c>
      <c r="G46" t="s">
        <v>83</v>
      </c>
      <c r="H46" s="1" t="s">
        <v>1015</v>
      </c>
      <c r="I46" s="1" t="s">
        <v>989</v>
      </c>
      <c r="J46" s="4">
        <v>65</v>
      </c>
      <c r="K46" t="s">
        <v>50</v>
      </c>
      <c r="L46" t="s">
        <v>59</v>
      </c>
      <c r="M46" s="4">
        <v>50000</v>
      </c>
      <c r="N46" t="s">
        <v>113</v>
      </c>
      <c r="O46" t="s">
        <v>27</v>
      </c>
    </row>
    <row r="47" spans="1:15" x14ac:dyDescent="0.25">
      <c r="A47" t="s">
        <v>14</v>
      </c>
      <c r="B47" t="s">
        <v>230</v>
      </c>
      <c r="C47" t="s">
        <v>213</v>
      </c>
      <c r="D47" t="s">
        <v>231</v>
      </c>
      <c r="E47" t="s">
        <v>232</v>
      </c>
      <c r="F47" s="5" t="s">
        <v>233</v>
      </c>
      <c r="G47" t="s">
        <v>170</v>
      </c>
      <c r="H47" s="1" t="s">
        <v>1016</v>
      </c>
      <c r="I47" s="1" t="s">
        <v>961</v>
      </c>
      <c r="J47" s="4">
        <v>58</v>
      </c>
      <c r="K47" t="s">
        <v>50</v>
      </c>
      <c r="L47" t="s">
        <v>71</v>
      </c>
      <c r="M47" s="4">
        <v>15000</v>
      </c>
      <c r="N47" t="s">
        <v>113</v>
      </c>
      <c r="O47" t="s">
        <v>27</v>
      </c>
    </row>
    <row r="48" spans="1:15" x14ac:dyDescent="0.25">
      <c r="A48" t="s">
        <v>14</v>
      </c>
      <c r="B48" t="s">
        <v>234</v>
      </c>
      <c r="C48" t="s">
        <v>235</v>
      </c>
      <c r="D48" t="s">
        <v>236</v>
      </c>
      <c r="E48" t="s">
        <v>237</v>
      </c>
      <c r="F48" s="4">
        <v>21211</v>
      </c>
      <c r="G48" t="s">
        <v>64</v>
      </c>
      <c r="H48" s="1" t="s">
        <v>1017</v>
      </c>
      <c r="I48" s="1" t="s">
        <v>1018</v>
      </c>
      <c r="J48" s="4">
        <v>5</v>
      </c>
      <c r="K48" t="s">
        <v>50</v>
      </c>
      <c r="L48" t="s">
        <v>51</v>
      </c>
      <c r="M48" s="4">
        <v>8000</v>
      </c>
      <c r="N48" t="s">
        <v>113</v>
      </c>
      <c r="O48" t="s">
        <v>27</v>
      </c>
    </row>
    <row r="49" spans="1:15" x14ac:dyDescent="0.25">
      <c r="A49" t="s">
        <v>14</v>
      </c>
      <c r="B49" t="s">
        <v>238</v>
      </c>
      <c r="C49" t="s">
        <v>239</v>
      </c>
      <c r="D49" t="s">
        <v>240</v>
      </c>
      <c r="E49" t="s">
        <v>241</v>
      </c>
      <c r="F49" s="4">
        <v>14564</v>
      </c>
      <c r="G49" t="s">
        <v>76</v>
      </c>
      <c r="H49" s="1" t="s">
        <v>1019</v>
      </c>
      <c r="I49" s="1" t="s">
        <v>1020</v>
      </c>
      <c r="J49" s="4">
        <v>70</v>
      </c>
      <c r="K49" t="s">
        <v>88</v>
      </c>
      <c r="L49" t="s">
        <v>51</v>
      </c>
      <c r="M49" s="4">
        <v>240</v>
      </c>
      <c r="N49" t="s">
        <v>52</v>
      </c>
      <c r="O49" t="s">
        <v>27</v>
      </c>
    </row>
    <row r="50" spans="1:15" x14ac:dyDescent="0.25">
      <c r="A50" t="s">
        <v>14</v>
      </c>
      <c r="B50" t="s">
        <v>242</v>
      </c>
      <c r="C50" t="s">
        <v>243</v>
      </c>
      <c r="D50" t="s">
        <v>244</v>
      </c>
      <c r="E50" t="s">
        <v>245</v>
      </c>
      <c r="F50" s="5" t="s">
        <v>246</v>
      </c>
      <c r="G50" t="s">
        <v>176</v>
      </c>
      <c r="H50" s="1" t="s">
        <v>1021</v>
      </c>
      <c r="I50" s="1" t="s">
        <v>1022</v>
      </c>
      <c r="J50" s="4">
        <v>50</v>
      </c>
      <c r="K50" t="s">
        <v>50</v>
      </c>
      <c r="L50" t="s">
        <v>103</v>
      </c>
      <c r="M50" s="4">
        <v>0</v>
      </c>
      <c r="N50" t="s">
        <v>52</v>
      </c>
      <c r="O50" t="s">
        <v>27</v>
      </c>
    </row>
    <row r="51" spans="1:15" x14ac:dyDescent="0.25">
      <c r="A51" t="s">
        <v>14</v>
      </c>
      <c r="B51" t="s">
        <v>247</v>
      </c>
      <c r="C51" t="s">
        <v>248</v>
      </c>
      <c r="D51" t="s">
        <v>249</v>
      </c>
      <c r="E51" t="s">
        <v>250</v>
      </c>
      <c r="F51" s="4">
        <v>14850</v>
      </c>
      <c r="G51" t="s">
        <v>76</v>
      </c>
      <c r="H51" s="1" t="s">
        <v>1023</v>
      </c>
      <c r="I51" s="1" t="s">
        <v>984</v>
      </c>
      <c r="J51" s="4">
        <v>67</v>
      </c>
      <c r="K51" t="s">
        <v>177</v>
      </c>
      <c r="L51" t="s">
        <v>51</v>
      </c>
      <c r="M51" s="4">
        <v>0</v>
      </c>
      <c r="N51" t="s">
        <v>52</v>
      </c>
      <c r="O51" t="s">
        <v>27</v>
      </c>
    </row>
    <row r="52" spans="1:15" x14ac:dyDescent="0.25">
      <c r="A52" t="s">
        <v>14</v>
      </c>
      <c r="B52" t="s">
        <v>251</v>
      </c>
      <c r="C52" t="s">
        <v>252</v>
      </c>
      <c r="D52" t="s">
        <v>253</v>
      </c>
      <c r="E52" t="s">
        <v>254</v>
      </c>
      <c r="F52" s="5" t="s">
        <v>255</v>
      </c>
      <c r="G52" t="s">
        <v>176</v>
      </c>
      <c r="H52" s="1" t="s">
        <v>1024</v>
      </c>
      <c r="I52" s="1" t="s">
        <v>1025</v>
      </c>
      <c r="J52" s="4">
        <v>56</v>
      </c>
      <c r="K52" t="s">
        <v>225</v>
      </c>
      <c r="L52" t="s">
        <v>71</v>
      </c>
      <c r="M52" s="4">
        <v>1000</v>
      </c>
      <c r="N52" t="s">
        <v>52</v>
      </c>
      <c r="O52" t="s">
        <v>27</v>
      </c>
    </row>
    <row r="53" spans="1:15" x14ac:dyDescent="0.25">
      <c r="A53" t="s">
        <v>14</v>
      </c>
      <c r="B53" t="s">
        <v>256</v>
      </c>
      <c r="C53" t="s">
        <v>257</v>
      </c>
      <c r="D53" t="s">
        <v>258</v>
      </c>
      <c r="E53" t="s">
        <v>259</v>
      </c>
      <c r="F53" s="5" t="s">
        <v>260</v>
      </c>
      <c r="G53" t="s">
        <v>142</v>
      </c>
      <c r="H53" s="1" t="s">
        <v>1026</v>
      </c>
      <c r="I53" s="1" t="s">
        <v>1027</v>
      </c>
      <c r="J53" s="4">
        <v>66</v>
      </c>
      <c r="K53" t="s">
        <v>136</v>
      </c>
      <c r="L53" t="s">
        <v>51</v>
      </c>
      <c r="M53" s="4">
        <v>5</v>
      </c>
      <c r="N53" t="s">
        <v>113</v>
      </c>
      <c r="O53" t="s">
        <v>27</v>
      </c>
    </row>
    <row r="54" spans="1:15" x14ac:dyDescent="0.25">
      <c r="A54" t="s">
        <v>14</v>
      </c>
      <c r="B54" t="s">
        <v>261</v>
      </c>
      <c r="C54" t="s">
        <v>262</v>
      </c>
      <c r="D54" t="s">
        <v>263</v>
      </c>
      <c r="E54" t="s">
        <v>264</v>
      </c>
      <c r="F54" s="4">
        <v>13734</v>
      </c>
      <c r="G54" t="s">
        <v>76</v>
      </c>
      <c r="H54" s="1" t="s">
        <v>1028</v>
      </c>
      <c r="I54" s="1" t="s">
        <v>1029</v>
      </c>
      <c r="J54" s="4">
        <v>69</v>
      </c>
      <c r="K54" t="s">
        <v>50</v>
      </c>
      <c r="L54" t="s">
        <v>103</v>
      </c>
      <c r="M54" s="4">
        <v>5000</v>
      </c>
      <c r="N54" t="s">
        <v>52</v>
      </c>
      <c r="O54" t="s">
        <v>27</v>
      </c>
    </row>
    <row r="55" spans="1:15" x14ac:dyDescent="0.25">
      <c r="A55" t="s">
        <v>14</v>
      </c>
      <c r="B55" t="s">
        <v>265</v>
      </c>
      <c r="C55" t="s">
        <v>266</v>
      </c>
      <c r="D55" t="s">
        <v>267</v>
      </c>
      <c r="E55" t="s">
        <v>268</v>
      </c>
      <c r="F55" s="4">
        <v>13214</v>
      </c>
      <c r="G55" t="s">
        <v>76</v>
      </c>
      <c r="H55" s="1" t="s">
        <v>1030</v>
      </c>
      <c r="I55" s="1" t="s">
        <v>1031</v>
      </c>
      <c r="J55" s="4">
        <v>46</v>
      </c>
      <c r="K55" t="s">
        <v>156</v>
      </c>
      <c r="L55" t="s">
        <v>51</v>
      </c>
      <c r="M55" s="4">
        <v>1000</v>
      </c>
      <c r="N55" t="s">
        <v>113</v>
      </c>
      <c r="O55" t="s">
        <v>27</v>
      </c>
    </row>
    <row r="56" spans="1:15" x14ac:dyDescent="0.25">
      <c r="A56" t="s">
        <v>14</v>
      </c>
      <c r="B56" t="s">
        <v>269</v>
      </c>
      <c r="C56" t="s">
        <v>152</v>
      </c>
      <c r="D56" t="s">
        <v>270</v>
      </c>
      <c r="E56" t="s">
        <v>271</v>
      </c>
      <c r="F56" s="5" t="s">
        <v>272</v>
      </c>
      <c r="G56" t="s">
        <v>70</v>
      </c>
      <c r="H56" s="1" t="s">
        <v>1032</v>
      </c>
      <c r="I56" s="1" t="s">
        <v>961</v>
      </c>
      <c r="J56" s="4">
        <v>73</v>
      </c>
      <c r="K56" t="s">
        <v>50</v>
      </c>
      <c r="L56" t="s">
        <v>71</v>
      </c>
      <c r="M56" s="4">
        <v>108</v>
      </c>
      <c r="N56" t="s">
        <v>52</v>
      </c>
      <c r="O56" t="s">
        <v>27</v>
      </c>
    </row>
    <row r="57" spans="1:15" x14ac:dyDescent="0.25">
      <c r="A57" t="s">
        <v>14</v>
      </c>
      <c r="B57" t="s">
        <v>273</v>
      </c>
      <c r="C57" t="s">
        <v>274</v>
      </c>
      <c r="D57" t="s">
        <v>275</v>
      </c>
      <c r="E57" t="s">
        <v>276</v>
      </c>
      <c r="F57" s="4">
        <v>12167</v>
      </c>
      <c r="G57" t="s">
        <v>76</v>
      </c>
      <c r="H57" s="1" t="s">
        <v>1033</v>
      </c>
      <c r="I57" s="1" t="s">
        <v>1034</v>
      </c>
      <c r="J57" s="4">
        <v>66</v>
      </c>
      <c r="K57" t="s">
        <v>88</v>
      </c>
      <c r="L57" t="s">
        <v>51</v>
      </c>
      <c r="M57" s="4">
        <v>68</v>
      </c>
      <c r="N57" t="s">
        <v>113</v>
      </c>
      <c r="O57" t="s">
        <v>27</v>
      </c>
    </row>
    <row r="58" spans="1:15" x14ac:dyDescent="0.25">
      <c r="A58" t="s">
        <v>14</v>
      </c>
      <c r="B58" t="s">
        <v>277</v>
      </c>
      <c r="C58" t="s">
        <v>278</v>
      </c>
      <c r="D58" t="s">
        <v>279</v>
      </c>
      <c r="E58" t="s">
        <v>280</v>
      </c>
      <c r="F58" s="5" t="s">
        <v>281</v>
      </c>
      <c r="G58" t="s">
        <v>83</v>
      </c>
      <c r="H58" s="1" t="s">
        <v>1035</v>
      </c>
      <c r="I58" s="1" t="s">
        <v>1036</v>
      </c>
      <c r="J58" s="4">
        <v>61</v>
      </c>
      <c r="K58" t="s">
        <v>50</v>
      </c>
      <c r="L58" t="s">
        <v>71</v>
      </c>
      <c r="M58" s="4">
        <v>1000</v>
      </c>
      <c r="N58" t="s">
        <v>52</v>
      </c>
      <c r="O58" t="s">
        <v>27</v>
      </c>
    </row>
    <row r="59" spans="1:15" x14ac:dyDescent="0.25">
      <c r="A59" t="s">
        <v>14</v>
      </c>
      <c r="B59" t="s">
        <v>282</v>
      </c>
      <c r="C59" t="s">
        <v>283</v>
      </c>
      <c r="D59" t="s">
        <v>284</v>
      </c>
      <c r="E59" t="s">
        <v>285</v>
      </c>
      <c r="F59" s="5" t="s">
        <v>286</v>
      </c>
      <c r="G59" t="s">
        <v>83</v>
      </c>
      <c r="H59" s="1" t="s">
        <v>1037</v>
      </c>
      <c r="I59" s="1" t="s">
        <v>1038</v>
      </c>
      <c r="J59" s="4">
        <v>65</v>
      </c>
      <c r="K59" t="s">
        <v>77</v>
      </c>
      <c r="L59" t="s">
        <v>51</v>
      </c>
      <c r="M59" s="4">
        <v>0</v>
      </c>
      <c r="N59" t="s">
        <v>113</v>
      </c>
      <c r="O59" t="s">
        <v>27</v>
      </c>
    </row>
    <row r="60" spans="1:15" x14ac:dyDescent="0.25">
      <c r="A60" t="s">
        <v>14</v>
      </c>
      <c r="B60" t="s">
        <v>287</v>
      </c>
      <c r="C60" t="s">
        <v>288</v>
      </c>
      <c r="D60" t="s">
        <v>289</v>
      </c>
      <c r="E60" t="s">
        <v>290</v>
      </c>
      <c r="F60" s="4">
        <v>13078</v>
      </c>
      <c r="G60" t="s">
        <v>76</v>
      </c>
      <c r="H60" s="1" t="s">
        <v>1039</v>
      </c>
      <c r="I60" s="1" t="s">
        <v>1020</v>
      </c>
      <c r="J60" s="4">
        <v>67</v>
      </c>
      <c r="K60" t="s">
        <v>177</v>
      </c>
      <c r="L60" t="s">
        <v>51</v>
      </c>
      <c r="M60" s="4">
        <v>20</v>
      </c>
      <c r="N60" t="s">
        <v>113</v>
      </c>
      <c r="O60" t="s">
        <v>27</v>
      </c>
    </row>
    <row r="61" spans="1:15" x14ac:dyDescent="0.25">
      <c r="A61" t="s">
        <v>14</v>
      </c>
      <c r="B61" t="s">
        <v>291</v>
      </c>
      <c r="C61" t="s">
        <v>292</v>
      </c>
      <c r="D61" t="s">
        <v>293</v>
      </c>
      <c r="E61" t="s">
        <v>294</v>
      </c>
      <c r="F61" s="4">
        <v>12072</v>
      </c>
      <c r="G61" t="s">
        <v>76</v>
      </c>
      <c r="H61" s="1" t="s">
        <v>1040</v>
      </c>
      <c r="I61" s="1" t="s">
        <v>1041</v>
      </c>
      <c r="J61" s="4">
        <v>57</v>
      </c>
      <c r="K61" t="s">
        <v>156</v>
      </c>
      <c r="L61" t="s">
        <v>136</v>
      </c>
      <c r="M61" s="4">
        <v>60</v>
      </c>
      <c r="N61" t="s">
        <v>113</v>
      </c>
      <c r="O61" t="s">
        <v>27</v>
      </c>
    </row>
    <row r="62" spans="1:15" x14ac:dyDescent="0.25">
      <c r="A62" t="s">
        <v>14</v>
      </c>
      <c r="B62" t="s">
        <v>295</v>
      </c>
      <c r="C62" t="s">
        <v>296</v>
      </c>
      <c r="D62" t="s">
        <v>297</v>
      </c>
      <c r="E62" t="s">
        <v>298</v>
      </c>
      <c r="F62" s="5" t="s">
        <v>299</v>
      </c>
      <c r="G62" t="s">
        <v>176</v>
      </c>
      <c r="H62" s="1" t="s">
        <v>1042</v>
      </c>
      <c r="I62" s="1" t="s">
        <v>1038</v>
      </c>
      <c r="J62" s="4">
        <v>64</v>
      </c>
      <c r="K62" t="s">
        <v>50</v>
      </c>
      <c r="L62" t="s">
        <v>300</v>
      </c>
      <c r="M62" s="4">
        <v>100</v>
      </c>
      <c r="N62" t="s">
        <v>113</v>
      </c>
      <c r="O62" t="s">
        <v>27</v>
      </c>
    </row>
    <row r="63" spans="1:15" x14ac:dyDescent="0.25">
      <c r="A63" t="s">
        <v>14</v>
      </c>
      <c r="B63" t="s">
        <v>301</v>
      </c>
      <c r="C63" t="s">
        <v>302</v>
      </c>
      <c r="D63" t="s">
        <v>303</v>
      </c>
      <c r="E63" t="s">
        <v>304</v>
      </c>
      <c r="F63" s="4">
        <v>17815</v>
      </c>
      <c r="G63" t="s">
        <v>165</v>
      </c>
      <c r="H63" s="1" t="s">
        <v>1043</v>
      </c>
      <c r="I63" s="1" t="s">
        <v>1044</v>
      </c>
      <c r="J63" s="4">
        <v>64</v>
      </c>
      <c r="K63" t="s">
        <v>93</v>
      </c>
      <c r="L63" t="s">
        <v>51</v>
      </c>
      <c r="M63" s="4">
        <v>96</v>
      </c>
      <c r="N63" t="s">
        <v>52</v>
      </c>
      <c r="O63" t="s">
        <v>27</v>
      </c>
    </row>
    <row r="64" spans="1:15" x14ac:dyDescent="0.25">
      <c r="A64" t="s">
        <v>14</v>
      </c>
      <c r="B64" t="s">
        <v>305</v>
      </c>
      <c r="C64" t="s">
        <v>306</v>
      </c>
      <c r="D64" t="s">
        <v>307</v>
      </c>
      <c r="E64" t="s">
        <v>308</v>
      </c>
      <c r="F64" s="4">
        <v>60615</v>
      </c>
      <c r="G64" t="s">
        <v>309</v>
      </c>
      <c r="H64" s="1" t="s">
        <v>1045</v>
      </c>
      <c r="I64" s="1" t="s">
        <v>1046</v>
      </c>
      <c r="J64" s="4">
        <v>427</v>
      </c>
      <c r="K64" t="s">
        <v>136</v>
      </c>
      <c r="L64" t="s">
        <v>136</v>
      </c>
      <c r="M64" s="4">
        <v>1200</v>
      </c>
      <c r="N64" t="s">
        <v>113</v>
      </c>
      <c r="O64" t="s">
        <v>27</v>
      </c>
    </row>
    <row r="65" spans="1:15" x14ac:dyDescent="0.25">
      <c r="A65" t="s">
        <v>14</v>
      </c>
      <c r="B65" t="s">
        <v>310</v>
      </c>
      <c r="C65" t="s">
        <v>79</v>
      </c>
      <c r="D65" t="s">
        <v>311</v>
      </c>
      <c r="E65" t="s">
        <v>312</v>
      </c>
      <c r="F65" s="5" t="s">
        <v>313</v>
      </c>
      <c r="G65" t="s">
        <v>176</v>
      </c>
      <c r="H65" s="1" t="s">
        <v>1047</v>
      </c>
      <c r="I65" s="1" t="s">
        <v>961</v>
      </c>
      <c r="J65" s="4">
        <v>64</v>
      </c>
      <c r="K65" t="s">
        <v>225</v>
      </c>
      <c r="L65" t="s">
        <v>300</v>
      </c>
      <c r="M65" s="4">
        <v>1500</v>
      </c>
      <c r="N65" t="s">
        <v>52</v>
      </c>
      <c r="O65" t="s">
        <v>27</v>
      </c>
    </row>
    <row r="66" spans="1:15" x14ac:dyDescent="0.25">
      <c r="A66" t="s">
        <v>14</v>
      </c>
      <c r="B66" t="s">
        <v>314</v>
      </c>
      <c r="C66" t="s">
        <v>315</v>
      </c>
      <c r="D66" t="s">
        <v>315</v>
      </c>
      <c r="E66" t="s">
        <v>316</v>
      </c>
      <c r="F66" s="5" t="s">
        <v>317</v>
      </c>
      <c r="G66" t="s">
        <v>170</v>
      </c>
      <c r="H66" s="1" t="s">
        <v>1048</v>
      </c>
      <c r="I66" s="1" t="s">
        <v>1049</v>
      </c>
      <c r="J66" s="4">
        <v>61</v>
      </c>
      <c r="K66" t="s">
        <v>88</v>
      </c>
      <c r="L66" t="s">
        <v>51</v>
      </c>
      <c r="M66" s="4">
        <v>93</v>
      </c>
      <c r="N66" t="s">
        <v>113</v>
      </c>
      <c r="O66" t="s">
        <v>27</v>
      </c>
    </row>
    <row r="67" spans="1:15" x14ac:dyDescent="0.25">
      <c r="A67" t="s">
        <v>14</v>
      </c>
      <c r="B67" t="s">
        <v>318</v>
      </c>
      <c r="C67" t="s">
        <v>44</v>
      </c>
      <c r="D67" t="s">
        <v>319</v>
      </c>
      <c r="E67" t="s">
        <v>320</v>
      </c>
      <c r="F67" s="4">
        <v>14886</v>
      </c>
      <c r="G67" t="s">
        <v>76</v>
      </c>
      <c r="H67" s="1" t="s">
        <v>1050</v>
      </c>
      <c r="I67" s="1" t="s">
        <v>1051</v>
      </c>
      <c r="J67" s="4">
        <v>67</v>
      </c>
      <c r="K67" t="s">
        <v>93</v>
      </c>
      <c r="L67" t="s">
        <v>51</v>
      </c>
      <c r="M67" s="4">
        <v>40</v>
      </c>
      <c r="N67" t="s">
        <v>113</v>
      </c>
      <c r="O67" t="s">
        <v>27</v>
      </c>
    </row>
    <row r="68" spans="1:15" x14ac:dyDescent="0.25">
      <c r="A68" t="s">
        <v>14</v>
      </c>
      <c r="B68" t="s">
        <v>321</v>
      </c>
      <c r="C68" t="s">
        <v>90</v>
      </c>
      <c r="D68" t="s">
        <v>322</v>
      </c>
      <c r="E68" t="s">
        <v>323</v>
      </c>
      <c r="F68" s="4">
        <v>54451</v>
      </c>
      <c r="G68" t="s">
        <v>324</v>
      </c>
      <c r="H68" s="1" t="s">
        <v>1052</v>
      </c>
      <c r="I68" s="1" t="s">
        <v>1053</v>
      </c>
      <c r="J68" s="4">
        <v>67</v>
      </c>
      <c r="K68" t="s">
        <v>50</v>
      </c>
      <c r="L68" t="s">
        <v>51</v>
      </c>
      <c r="M68" s="4">
        <v>10000</v>
      </c>
      <c r="N68" t="s">
        <v>52</v>
      </c>
      <c r="O68" t="s">
        <v>27</v>
      </c>
    </row>
    <row r="69" spans="1:15" x14ac:dyDescent="0.25">
      <c r="A69" t="s">
        <v>14</v>
      </c>
      <c r="B69" t="s">
        <v>325</v>
      </c>
      <c r="C69" t="s">
        <v>326</v>
      </c>
      <c r="D69" t="s">
        <v>327</v>
      </c>
      <c r="E69" t="s">
        <v>328</v>
      </c>
      <c r="F69" s="4">
        <v>13601</v>
      </c>
      <c r="G69" t="s">
        <v>76</v>
      </c>
      <c r="H69" s="1" t="s">
        <v>1054</v>
      </c>
      <c r="I69" s="1" t="s">
        <v>1055</v>
      </c>
      <c r="J69" s="4">
        <v>44</v>
      </c>
      <c r="K69" t="s">
        <v>99</v>
      </c>
      <c r="L69" t="s">
        <v>51</v>
      </c>
      <c r="M69" s="4">
        <v>0</v>
      </c>
      <c r="N69" t="s">
        <v>52</v>
      </c>
      <c r="O69" t="s">
        <v>27</v>
      </c>
    </row>
    <row r="70" spans="1:15" x14ac:dyDescent="0.25">
      <c r="A70" t="s">
        <v>14</v>
      </c>
      <c r="B70" t="s">
        <v>329</v>
      </c>
      <c r="C70" t="s">
        <v>330</v>
      </c>
      <c r="D70" t="s">
        <v>331</v>
      </c>
      <c r="E70" t="s">
        <v>332</v>
      </c>
      <c r="F70" s="4">
        <v>14867</v>
      </c>
      <c r="G70" t="s">
        <v>76</v>
      </c>
      <c r="H70" s="1" t="s">
        <v>1056</v>
      </c>
      <c r="I70" s="1" t="s">
        <v>1057</v>
      </c>
      <c r="J70" s="4">
        <v>71</v>
      </c>
      <c r="K70" t="s">
        <v>88</v>
      </c>
      <c r="L70" t="s">
        <v>51</v>
      </c>
      <c r="M70" s="4">
        <v>5</v>
      </c>
      <c r="N70" t="s">
        <v>113</v>
      </c>
      <c r="O70" t="s">
        <v>27</v>
      </c>
    </row>
    <row r="71" spans="1:15" x14ac:dyDescent="0.25">
      <c r="A71" t="s">
        <v>14</v>
      </c>
      <c r="B71" t="s">
        <v>333</v>
      </c>
      <c r="C71" t="s">
        <v>334</v>
      </c>
      <c r="D71" t="s">
        <v>335</v>
      </c>
      <c r="E71" t="s">
        <v>336</v>
      </c>
      <c r="F71" s="4">
        <v>14850</v>
      </c>
      <c r="G71" t="s">
        <v>76</v>
      </c>
      <c r="H71" s="1" t="s">
        <v>1058</v>
      </c>
      <c r="I71" s="1" t="s">
        <v>1059</v>
      </c>
      <c r="J71" s="4">
        <v>51</v>
      </c>
      <c r="K71" t="s">
        <v>99</v>
      </c>
      <c r="L71" t="s">
        <v>51</v>
      </c>
      <c r="M71" s="4">
        <v>10</v>
      </c>
      <c r="N71" t="s">
        <v>113</v>
      </c>
      <c r="O71" t="s">
        <v>27</v>
      </c>
    </row>
    <row r="72" spans="1:15" x14ac:dyDescent="0.25">
      <c r="A72" t="s">
        <v>14</v>
      </c>
      <c r="B72" t="s">
        <v>337</v>
      </c>
      <c r="C72" t="s">
        <v>338</v>
      </c>
      <c r="D72" t="s">
        <v>339</v>
      </c>
      <c r="E72" t="s">
        <v>340</v>
      </c>
      <c r="F72" s="4">
        <v>61821</v>
      </c>
      <c r="G72" t="s">
        <v>309</v>
      </c>
      <c r="H72" s="1" t="s">
        <v>1060</v>
      </c>
      <c r="I72" s="1" t="s">
        <v>1020</v>
      </c>
      <c r="J72" s="4">
        <v>49</v>
      </c>
      <c r="K72" t="s">
        <v>156</v>
      </c>
      <c r="L72" t="s">
        <v>51</v>
      </c>
      <c r="M72" s="4">
        <v>30</v>
      </c>
      <c r="N72" t="s">
        <v>52</v>
      </c>
      <c r="O72" t="s">
        <v>27</v>
      </c>
    </row>
    <row r="73" spans="1:15" x14ac:dyDescent="0.25">
      <c r="A73" t="s">
        <v>14</v>
      </c>
      <c r="B73" t="s">
        <v>341</v>
      </c>
      <c r="C73" t="s">
        <v>342</v>
      </c>
      <c r="D73" t="s">
        <v>343</v>
      </c>
      <c r="E73" t="s">
        <v>344</v>
      </c>
      <c r="F73" s="4">
        <v>19341</v>
      </c>
      <c r="G73" t="s">
        <v>165</v>
      </c>
      <c r="H73" s="1" t="s">
        <v>1061</v>
      </c>
      <c r="I73" s="1" t="s">
        <v>980</v>
      </c>
      <c r="J73" s="4">
        <v>69</v>
      </c>
      <c r="K73" t="s">
        <v>156</v>
      </c>
      <c r="L73" t="s">
        <v>136</v>
      </c>
      <c r="M73" s="4">
        <v>220</v>
      </c>
      <c r="N73" t="s">
        <v>52</v>
      </c>
      <c r="O73" t="s">
        <v>27</v>
      </c>
    </row>
    <row r="74" spans="1:15" x14ac:dyDescent="0.25">
      <c r="A74" t="s">
        <v>14</v>
      </c>
      <c r="B74" t="s">
        <v>345</v>
      </c>
      <c r="C74" t="s">
        <v>218</v>
      </c>
      <c r="D74" t="s">
        <v>346</v>
      </c>
      <c r="E74" t="s">
        <v>347</v>
      </c>
      <c r="F74" s="4">
        <v>56081</v>
      </c>
      <c r="G74" t="s">
        <v>348</v>
      </c>
      <c r="H74" s="1" t="s">
        <v>1062</v>
      </c>
      <c r="I74" s="1" t="s">
        <v>1003</v>
      </c>
      <c r="J74" s="4">
        <v>60</v>
      </c>
      <c r="K74" t="s">
        <v>77</v>
      </c>
      <c r="L74" t="s">
        <v>51</v>
      </c>
      <c r="M74" s="4">
        <v>10</v>
      </c>
      <c r="N74" t="s">
        <v>52</v>
      </c>
      <c r="O74" t="s">
        <v>27</v>
      </c>
    </row>
    <row r="75" spans="1:15" x14ac:dyDescent="0.25">
      <c r="A75" t="s">
        <v>14</v>
      </c>
      <c r="B75" t="s">
        <v>349</v>
      </c>
      <c r="C75" t="s">
        <v>350</v>
      </c>
      <c r="D75" t="s">
        <v>351</v>
      </c>
      <c r="E75" t="s">
        <v>352</v>
      </c>
      <c r="F75" s="4">
        <v>17257</v>
      </c>
      <c r="G75" t="s">
        <v>165</v>
      </c>
      <c r="H75" s="1" t="s">
        <v>1063</v>
      </c>
      <c r="I75" s="1" t="s">
        <v>1064</v>
      </c>
      <c r="J75" s="4">
        <v>39</v>
      </c>
      <c r="K75" t="s">
        <v>93</v>
      </c>
      <c r="L75" t="s">
        <v>51</v>
      </c>
      <c r="M75" s="4">
        <v>13</v>
      </c>
      <c r="N75" t="s">
        <v>52</v>
      </c>
      <c r="O75" t="s">
        <v>27</v>
      </c>
    </row>
    <row r="76" spans="1:15" x14ac:dyDescent="0.25">
      <c r="A76" t="s">
        <v>14</v>
      </c>
      <c r="B76" t="s">
        <v>353</v>
      </c>
      <c r="C76" t="s">
        <v>213</v>
      </c>
      <c r="D76" t="s">
        <v>354</v>
      </c>
      <c r="E76" t="s">
        <v>355</v>
      </c>
      <c r="F76" s="4">
        <v>54001</v>
      </c>
      <c r="G76" t="s">
        <v>324</v>
      </c>
      <c r="H76" s="1" t="s">
        <v>1065</v>
      </c>
      <c r="I76" s="1" t="s">
        <v>1066</v>
      </c>
      <c r="J76" s="4">
        <v>34</v>
      </c>
      <c r="K76" t="s">
        <v>93</v>
      </c>
      <c r="L76" t="s">
        <v>51</v>
      </c>
      <c r="M76" s="4">
        <v>130</v>
      </c>
      <c r="N76" t="s">
        <v>113</v>
      </c>
      <c r="O76" t="s">
        <v>27</v>
      </c>
    </row>
    <row r="77" spans="1:15" x14ac:dyDescent="0.25">
      <c r="A77" t="s">
        <v>14</v>
      </c>
      <c r="B77" t="s">
        <v>356</v>
      </c>
      <c r="C77" t="s">
        <v>357</v>
      </c>
      <c r="D77" t="s">
        <v>358</v>
      </c>
      <c r="E77" t="s">
        <v>359</v>
      </c>
      <c r="F77" s="4">
        <v>53506</v>
      </c>
      <c r="G77" t="s">
        <v>324</v>
      </c>
      <c r="H77" s="1" t="s">
        <v>1067</v>
      </c>
      <c r="I77" s="1" t="s">
        <v>961</v>
      </c>
      <c r="J77" s="4">
        <v>473</v>
      </c>
      <c r="K77" t="s">
        <v>93</v>
      </c>
      <c r="L77" t="s">
        <v>51</v>
      </c>
      <c r="M77" s="4">
        <v>21</v>
      </c>
      <c r="N77" t="s">
        <v>52</v>
      </c>
      <c r="O77" t="s">
        <v>27</v>
      </c>
    </row>
    <row r="78" spans="1:15" x14ac:dyDescent="0.25">
      <c r="A78" t="s">
        <v>14</v>
      </c>
      <c r="B78" t="s">
        <v>360</v>
      </c>
      <c r="C78" t="s">
        <v>361</v>
      </c>
      <c r="D78" t="s">
        <v>362</v>
      </c>
      <c r="E78" t="s">
        <v>363</v>
      </c>
      <c r="F78" s="4" t="s">
        <v>364</v>
      </c>
      <c r="G78" t="s">
        <v>365</v>
      </c>
      <c r="H78" s="1" t="s">
        <v>1068</v>
      </c>
      <c r="I78" s="1" t="s">
        <v>1069</v>
      </c>
      <c r="J78" s="4">
        <v>39</v>
      </c>
      <c r="K78" t="s">
        <v>77</v>
      </c>
      <c r="L78" t="s">
        <v>51</v>
      </c>
      <c r="M78" s="4">
        <v>0</v>
      </c>
      <c r="N78" t="s">
        <v>113</v>
      </c>
      <c r="O78" t="s">
        <v>150</v>
      </c>
    </row>
    <row r="79" spans="1:15" x14ac:dyDescent="0.25">
      <c r="A79" t="s">
        <v>14</v>
      </c>
      <c r="B79" t="s">
        <v>366</v>
      </c>
      <c r="C79" t="s">
        <v>367</v>
      </c>
      <c r="D79" t="s">
        <v>368</v>
      </c>
      <c r="E79" t="s">
        <v>369</v>
      </c>
      <c r="F79" s="4">
        <v>14861</v>
      </c>
      <c r="G79" t="s">
        <v>76</v>
      </c>
      <c r="H79" s="1" t="s">
        <v>1070</v>
      </c>
      <c r="I79" s="1" t="s">
        <v>1071</v>
      </c>
      <c r="J79" s="4">
        <v>23</v>
      </c>
      <c r="K79" t="s">
        <v>88</v>
      </c>
      <c r="L79" t="s">
        <v>51</v>
      </c>
      <c r="M79" s="4">
        <v>43</v>
      </c>
      <c r="N79" t="s">
        <v>52</v>
      </c>
      <c r="O79" t="s">
        <v>27</v>
      </c>
    </row>
    <row r="80" spans="1:15" x14ac:dyDescent="0.25">
      <c r="A80" t="s">
        <v>14</v>
      </c>
      <c r="B80" t="s">
        <v>370</v>
      </c>
      <c r="C80" t="s">
        <v>105</v>
      </c>
      <c r="D80" t="s">
        <v>371</v>
      </c>
      <c r="E80" t="s">
        <v>372</v>
      </c>
      <c r="F80" s="4">
        <v>55044</v>
      </c>
      <c r="G80" t="s">
        <v>348</v>
      </c>
      <c r="H80" s="1" t="s">
        <v>1072</v>
      </c>
      <c r="I80" s="1" t="s">
        <v>1038</v>
      </c>
      <c r="J80" s="4">
        <v>66</v>
      </c>
      <c r="K80" t="s">
        <v>50</v>
      </c>
      <c r="L80" t="s">
        <v>51</v>
      </c>
      <c r="M80" s="4">
        <v>10</v>
      </c>
      <c r="N80" t="s">
        <v>113</v>
      </c>
      <c r="O80" t="s">
        <v>27</v>
      </c>
    </row>
    <row r="81" spans="1:15" x14ac:dyDescent="0.25">
      <c r="A81" t="s">
        <v>14</v>
      </c>
      <c r="B81" t="s">
        <v>373</v>
      </c>
      <c r="C81" t="s">
        <v>374</v>
      </c>
      <c r="D81" t="s">
        <v>375</v>
      </c>
      <c r="E81" t="s">
        <v>376</v>
      </c>
      <c r="F81" s="5" t="s">
        <v>377</v>
      </c>
      <c r="G81" t="s">
        <v>70</v>
      </c>
      <c r="H81" s="1" t="s">
        <v>1073</v>
      </c>
      <c r="I81" s="1" t="s">
        <v>1074</v>
      </c>
      <c r="J81" s="4">
        <v>83</v>
      </c>
      <c r="K81" t="s">
        <v>93</v>
      </c>
      <c r="L81" t="s">
        <v>51</v>
      </c>
      <c r="M81" s="4">
        <v>20</v>
      </c>
      <c r="N81" t="s">
        <v>113</v>
      </c>
      <c r="O81" t="s">
        <v>27</v>
      </c>
    </row>
    <row r="82" spans="1:15" x14ac:dyDescent="0.25">
      <c r="A82" t="s">
        <v>14</v>
      </c>
      <c r="B82" t="s">
        <v>378</v>
      </c>
      <c r="C82" t="s">
        <v>342</v>
      </c>
      <c r="D82" t="s">
        <v>379</v>
      </c>
      <c r="E82" t="s">
        <v>380</v>
      </c>
      <c r="F82" s="4">
        <v>13424</v>
      </c>
      <c r="G82" t="s">
        <v>76</v>
      </c>
      <c r="H82" s="1" t="s">
        <v>1075</v>
      </c>
      <c r="I82" s="1" t="s">
        <v>1076</v>
      </c>
      <c r="J82" s="4">
        <v>56</v>
      </c>
      <c r="K82" t="s">
        <v>99</v>
      </c>
      <c r="L82" t="s">
        <v>51</v>
      </c>
      <c r="M82" s="4">
        <v>0</v>
      </c>
      <c r="N82" t="s">
        <v>113</v>
      </c>
      <c r="O82" t="s">
        <v>27</v>
      </c>
    </row>
    <row r="83" spans="1:15" x14ac:dyDescent="0.25">
      <c r="A83" t="s">
        <v>14</v>
      </c>
      <c r="B83" t="s">
        <v>381</v>
      </c>
      <c r="C83" t="s">
        <v>382</v>
      </c>
      <c r="D83" t="s">
        <v>383</v>
      </c>
      <c r="E83" t="s">
        <v>384</v>
      </c>
      <c r="F83" s="4" t="s">
        <v>385</v>
      </c>
      <c r="G83" t="s">
        <v>365</v>
      </c>
      <c r="H83" s="1" t="s">
        <v>1077</v>
      </c>
      <c r="I83" s="1" t="s">
        <v>1078</v>
      </c>
      <c r="J83" s="4">
        <v>70</v>
      </c>
      <c r="K83" t="s">
        <v>77</v>
      </c>
      <c r="L83" t="s">
        <v>51</v>
      </c>
      <c r="M83" s="4">
        <v>250</v>
      </c>
      <c r="N83" t="s">
        <v>113</v>
      </c>
      <c r="O83" t="s">
        <v>150</v>
      </c>
    </row>
    <row r="84" spans="1:15" x14ac:dyDescent="0.25">
      <c r="A84" t="s">
        <v>14</v>
      </c>
      <c r="B84" t="s">
        <v>386</v>
      </c>
      <c r="C84" t="s">
        <v>387</v>
      </c>
      <c r="D84" t="s">
        <v>388</v>
      </c>
      <c r="E84" t="s">
        <v>389</v>
      </c>
      <c r="F84" s="4">
        <v>55812</v>
      </c>
      <c r="G84" t="s">
        <v>348</v>
      </c>
      <c r="H84" s="1" t="s">
        <v>1079</v>
      </c>
      <c r="I84" s="1" t="s">
        <v>1080</v>
      </c>
      <c r="J84" s="4">
        <v>6</v>
      </c>
      <c r="K84" t="s">
        <v>156</v>
      </c>
      <c r="L84" t="s">
        <v>216</v>
      </c>
      <c r="M84" s="4">
        <v>153</v>
      </c>
      <c r="N84" t="s">
        <v>113</v>
      </c>
      <c r="O84" t="s">
        <v>27</v>
      </c>
    </row>
    <row r="85" spans="1:15" x14ac:dyDescent="0.25">
      <c r="A85" t="s">
        <v>14</v>
      </c>
      <c r="B85" t="s">
        <v>390</v>
      </c>
      <c r="C85" t="s">
        <v>391</v>
      </c>
      <c r="D85" t="s">
        <v>392</v>
      </c>
      <c r="E85" t="s">
        <v>393</v>
      </c>
      <c r="F85" s="5" t="s">
        <v>394</v>
      </c>
      <c r="G85" t="s">
        <v>76</v>
      </c>
      <c r="H85" s="1" t="s">
        <v>985</v>
      </c>
      <c r="I85" s="1" t="s">
        <v>1081</v>
      </c>
      <c r="J85" s="4">
        <v>65</v>
      </c>
      <c r="K85" t="s">
        <v>77</v>
      </c>
      <c r="L85" t="s">
        <v>51</v>
      </c>
      <c r="M85" s="4">
        <v>100</v>
      </c>
      <c r="N85" t="s">
        <v>113</v>
      </c>
      <c r="O85" t="s">
        <v>27</v>
      </c>
    </row>
    <row r="86" spans="1:15" x14ac:dyDescent="0.25">
      <c r="A86" t="s">
        <v>14</v>
      </c>
      <c r="B86" t="s">
        <v>395</v>
      </c>
      <c r="C86" t="s">
        <v>288</v>
      </c>
      <c r="D86" t="s">
        <v>396</v>
      </c>
      <c r="E86" t="s">
        <v>397</v>
      </c>
      <c r="F86" s="4">
        <v>55418</v>
      </c>
      <c r="G86" t="s">
        <v>348</v>
      </c>
      <c r="H86" s="1" t="s">
        <v>1082</v>
      </c>
      <c r="I86" s="1" t="s">
        <v>1020</v>
      </c>
      <c r="J86" s="4">
        <v>69</v>
      </c>
      <c r="K86" t="s">
        <v>177</v>
      </c>
      <c r="L86" t="s">
        <v>136</v>
      </c>
      <c r="M86" s="4">
        <v>0</v>
      </c>
      <c r="N86" t="s">
        <v>113</v>
      </c>
      <c r="O86" t="s">
        <v>27</v>
      </c>
    </row>
    <row r="87" spans="1:15" x14ac:dyDescent="0.25">
      <c r="A87" t="s">
        <v>14</v>
      </c>
      <c r="B87" t="s">
        <v>398</v>
      </c>
      <c r="C87" t="s">
        <v>399</v>
      </c>
      <c r="D87" t="s">
        <v>400</v>
      </c>
      <c r="E87" t="s">
        <v>401</v>
      </c>
      <c r="F87" s="4">
        <v>14111</v>
      </c>
      <c r="G87" t="s">
        <v>76</v>
      </c>
      <c r="H87" s="1" t="s">
        <v>1018</v>
      </c>
      <c r="I87" s="1" t="s">
        <v>971</v>
      </c>
      <c r="J87" s="4">
        <v>60</v>
      </c>
      <c r="K87" t="s">
        <v>93</v>
      </c>
      <c r="L87" t="s">
        <v>136</v>
      </c>
      <c r="M87" s="4">
        <v>25</v>
      </c>
      <c r="N87" t="s">
        <v>113</v>
      </c>
      <c r="O87" t="s">
        <v>27</v>
      </c>
    </row>
    <row r="88" spans="1:15" x14ac:dyDescent="0.25">
      <c r="A88" t="s">
        <v>14</v>
      </c>
      <c r="B88" t="s">
        <v>402</v>
      </c>
      <c r="C88" t="s">
        <v>403</v>
      </c>
      <c r="D88" t="s">
        <v>404</v>
      </c>
      <c r="E88" t="s">
        <v>405</v>
      </c>
      <c r="F88" s="4" t="s">
        <v>406</v>
      </c>
      <c r="G88" t="s">
        <v>407</v>
      </c>
      <c r="H88" s="1" t="s">
        <v>1083</v>
      </c>
      <c r="I88" s="1" t="s">
        <v>986</v>
      </c>
      <c r="J88" s="4">
        <v>52</v>
      </c>
      <c r="K88" t="s">
        <v>93</v>
      </c>
      <c r="L88" t="s">
        <v>51</v>
      </c>
      <c r="M88" s="4">
        <v>36</v>
      </c>
      <c r="N88" t="s">
        <v>113</v>
      </c>
      <c r="O88" t="s">
        <v>150</v>
      </c>
    </row>
    <row r="89" spans="1:15" x14ac:dyDescent="0.25">
      <c r="A89" t="s">
        <v>14</v>
      </c>
      <c r="B89" t="s">
        <v>408</v>
      </c>
      <c r="C89" t="s">
        <v>409</v>
      </c>
      <c r="D89" t="s">
        <v>410</v>
      </c>
      <c r="E89" t="s">
        <v>411</v>
      </c>
      <c r="F89" s="5" t="s">
        <v>412</v>
      </c>
      <c r="G89" t="s">
        <v>70</v>
      </c>
      <c r="H89" s="1" t="s">
        <v>1084</v>
      </c>
      <c r="I89" s="1" t="s">
        <v>961</v>
      </c>
      <c r="J89" s="4">
        <v>76</v>
      </c>
      <c r="K89" t="s">
        <v>50</v>
      </c>
      <c r="L89" t="s">
        <v>71</v>
      </c>
      <c r="M89" s="4">
        <v>300</v>
      </c>
      <c r="N89" t="s">
        <v>52</v>
      </c>
      <c r="O89" t="s">
        <v>27</v>
      </c>
    </row>
    <row r="90" spans="1:15" x14ac:dyDescent="0.25">
      <c r="A90" t="s">
        <v>14</v>
      </c>
      <c r="B90" t="s">
        <v>413</v>
      </c>
      <c r="C90" t="s">
        <v>61</v>
      </c>
      <c r="D90" t="s">
        <v>414</v>
      </c>
      <c r="E90" t="s">
        <v>415</v>
      </c>
      <c r="F90" s="4">
        <v>62828</v>
      </c>
      <c r="G90" t="s">
        <v>309</v>
      </c>
      <c r="H90" s="1" t="s">
        <v>1085</v>
      </c>
      <c r="I90" s="1" t="s">
        <v>1086</v>
      </c>
      <c r="J90" s="4">
        <v>61</v>
      </c>
      <c r="K90" t="s">
        <v>50</v>
      </c>
      <c r="L90" t="s">
        <v>103</v>
      </c>
      <c r="M90" s="4">
        <v>400</v>
      </c>
      <c r="N90" t="s">
        <v>52</v>
      </c>
      <c r="O90" t="s">
        <v>27</v>
      </c>
    </row>
    <row r="91" spans="1:15" x14ac:dyDescent="0.25">
      <c r="A91" t="s">
        <v>14</v>
      </c>
      <c r="B91" t="s">
        <v>416</v>
      </c>
      <c r="C91" t="s">
        <v>417</v>
      </c>
      <c r="D91" t="s">
        <v>418</v>
      </c>
      <c r="E91" t="s">
        <v>419</v>
      </c>
      <c r="F91" s="5" t="s">
        <v>420</v>
      </c>
      <c r="G91" t="s">
        <v>176</v>
      </c>
      <c r="H91" s="1" t="s">
        <v>1087</v>
      </c>
      <c r="I91" s="1" t="s">
        <v>1041</v>
      </c>
      <c r="J91" s="4">
        <v>63</v>
      </c>
      <c r="K91" t="s">
        <v>225</v>
      </c>
      <c r="L91" t="s">
        <v>300</v>
      </c>
      <c r="M91" s="4">
        <v>0</v>
      </c>
      <c r="N91" t="s">
        <v>52</v>
      </c>
      <c r="O91" t="s">
        <v>27</v>
      </c>
    </row>
    <row r="92" spans="1:15" x14ac:dyDescent="0.25">
      <c r="A92" t="s">
        <v>14</v>
      </c>
      <c r="B92" t="s">
        <v>421</v>
      </c>
      <c r="C92" t="s">
        <v>422</v>
      </c>
      <c r="D92" t="s">
        <v>423</v>
      </c>
      <c r="E92" t="s">
        <v>424</v>
      </c>
      <c r="F92" s="4">
        <v>14454</v>
      </c>
      <c r="G92" t="s">
        <v>76</v>
      </c>
      <c r="H92" s="1" t="s">
        <v>1088</v>
      </c>
      <c r="I92" s="1" t="s">
        <v>1089</v>
      </c>
      <c r="J92" s="4">
        <v>67</v>
      </c>
      <c r="K92" t="s">
        <v>177</v>
      </c>
      <c r="L92" t="s">
        <v>51</v>
      </c>
      <c r="M92" s="4" t="s">
        <v>425</v>
      </c>
      <c r="N92" t="s">
        <v>52</v>
      </c>
      <c r="O92" t="s">
        <v>27</v>
      </c>
    </row>
    <row r="93" spans="1:15" x14ac:dyDescent="0.25">
      <c r="A93" t="s">
        <v>14</v>
      </c>
      <c r="B93" t="s">
        <v>426</v>
      </c>
      <c r="C93" t="s">
        <v>44</v>
      </c>
      <c r="D93" t="s">
        <v>427</v>
      </c>
      <c r="E93" t="s">
        <v>428</v>
      </c>
      <c r="F93" s="5" t="s">
        <v>429</v>
      </c>
      <c r="G93" t="s">
        <v>83</v>
      </c>
      <c r="H93" s="1" t="s">
        <v>1090</v>
      </c>
      <c r="I93" s="1" t="s">
        <v>1091</v>
      </c>
      <c r="J93" s="4">
        <v>55</v>
      </c>
      <c r="K93" t="s">
        <v>177</v>
      </c>
      <c r="L93" t="s">
        <v>71</v>
      </c>
      <c r="M93" s="4">
        <v>76</v>
      </c>
      <c r="N93" t="s">
        <v>113</v>
      </c>
      <c r="O93" t="s">
        <v>27</v>
      </c>
    </row>
    <row r="94" spans="1:15" x14ac:dyDescent="0.25">
      <c r="A94" t="s">
        <v>14</v>
      </c>
      <c r="B94" t="s">
        <v>430</v>
      </c>
      <c r="C94" t="s">
        <v>431</v>
      </c>
      <c r="D94" t="s">
        <v>432</v>
      </c>
      <c r="E94" t="s">
        <v>433</v>
      </c>
      <c r="F94" s="4">
        <v>14737</v>
      </c>
      <c r="G94" t="s">
        <v>76</v>
      </c>
      <c r="H94" s="1" t="s">
        <v>1092</v>
      </c>
      <c r="I94" s="1" t="s">
        <v>1093</v>
      </c>
      <c r="J94" s="4">
        <v>63</v>
      </c>
      <c r="K94" t="s">
        <v>93</v>
      </c>
      <c r="L94" t="s">
        <v>51</v>
      </c>
      <c r="M94" s="4">
        <v>52</v>
      </c>
      <c r="N94" t="s">
        <v>52</v>
      </c>
      <c r="O94" t="s">
        <v>27</v>
      </c>
    </row>
    <row r="95" spans="1:15" x14ac:dyDescent="0.25">
      <c r="A95" t="s">
        <v>14</v>
      </c>
      <c r="B95" t="s">
        <v>434</v>
      </c>
      <c r="C95" t="s">
        <v>435</v>
      </c>
      <c r="D95" t="s">
        <v>436</v>
      </c>
      <c r="E95" t="s">
        <v>437</v>
      </c>
      <c r="F95" s="4">
        <v>12122</v>
      </c>
      <c r="G95" t="s">
        <v>76</v>
      </c>
      <c r="H95" s="1" t="s">
        <v>1094</v>
      </c>
      <c r="I95" s="1" t="s">
        <v>1095</v>
      </c>
      <c r="J95" s="4">
        <v>51</v>
      </c>
      <c r="K95" t="s">
        <v>99</v>
      </c>
      <c r="L95" t="s">
        <v>51</v>
      </c>
      <c r="M95" s="4">
        <v>112</v>
      </c>
      <c r="N95" t="s">
        <v>52</v>
      </c>
      <c r="O95" t="s">
        <v>27</v>
      </c>
    </row>
    <row r="96" spans="1:15" x14ac:dyDescent="0.25">
      <c r="A96" t="s">
        <v>14</v>
      </c>
      <c r="B96" t="s">
        <v>438</v>
      </c>
      <c r="C96" t="s">
        <v>125</v>
      </c>
      <c r="D96" t="s">
        <v>439</v>
      </c>
      <c r="E96" t="s">
        <v>440</v>
      </c>
      <c r="F96" s="5" t="s">
        <v>441</v>
      </c>
      <c r="G96" t="s">
        <v>70</v>
      </c>
      <c r="H96" s="1" t="s">
        <v>1096</v>
      </c>
      <c r="I96" s="1" t="s">
        <v>1097</v>
      </c>
      <c r="J96" s="4">
        <v>65</v>
      </c>
      <c r="K96" t="s">
        <v>156</v>
      </c>
      <c r="L96" t="s">
        <v>216</v>
      </c>
      <c r="M96" s="4">
        <v>0</v>
      </c>
      <c r="N96" t="s">
        <v>52</v>
      </c>
      <c r="O96" t="s">
        <v>27</v>
      </c>
    </row>
    <row r="97" spans="1:15" x14ac:dyDescent="0.25">
      <c r="A97" t="s">
        <v>14</v>
      </c>
      <c r="B97" t="s">
        <v>442</v>
      </c>
      <c r="C97" t="s">
        <v>109</v>
      </c>
      <c r="D97" t="s">
        <v>443</v>
      </c>
      <c r="E97" t="s">
        <v>444</v>
      </c>
      <c r="F97" s="4">
        <v>12885</v>
      </c>
      <c r="G97" t="s">
        <v>76</v>
      </c>
      <c r="H97" s="1" t="s">
        <v>1098</v>
      </c>
      <c r="I97" s="1" t="s">
        <v>1099</v>
      </c>
      <c r="J97" s="4">
        <v>59</v>
      </c>
      <c r="K97" t="s">
        <v>50</v>
      </c>
      <c r="L97" t="s">
        <v>103</v>
      </c>
      <c r="M97" s="4">
        <v>500000</v>
      </c>
      <c r="N97" t="s">
        <v>52</v>
      </c>
      <c r="O97" t="s">
        <v>27</v>
      </c>
    </row>
    <row r="98" spans="1:15" x14ac:dyDescent="0.25">
      <c r="A98" t="s">
        <v>14</v>
      </c>
      <c r="B98" t="s">
        <v>445</v>
      </c>
      <c r="C98" t="s">
        <v>446</v>
      </c>
      <c r="D98" t="s">
        <v>447</v>
      </c>
      <c r="E98" t="s">
        <v>448</v>
      </c>
      <c r="F98" s="5" t="s">
        <v>449</v>
      </c>
      <c r="G98" t="s">
        <v>70</v>
      </c>
      <c r="H98" s="1" t="s">
        <v>1100</v>
      </c>
      <c r="I98" s="1" t="s">
        <v>1081</v>
      </c>
      <c r="J98" s="4">
        <v>74</v>
      </c>
      <c r="K98" t="s">
        <v>50</v>
      </c>
      <c r="L98" t="s">
        <v>71</v>
      </c>
      <c r="M98" s="4">
        <v>5000</v>
      </c>
      <c r="N98" t="s">
        <v>113</v>
      </c>
      <c r="O98" t="s">
        <v>27</v>
      </c>
    </row>
    <row r="99" spans="1:15" x14ac:dyDescent="0.25">
      <c r="A99" t="s">
        <v>14</v>
      </c>
      <c r="B99" t="s">
        <v>450</v>
      </c>
      <c r="C99" t="s">
        <v>451</v>
      </c>
      <c r="D99" t="s">
        <v>452</v>
      </c>
      <c r="E99" t="s">
        <v>453</v>
      </c>
      <c r="F99" s="4">
        <v>97459</v>
      </c>
      <c r="G99" t="s">
        <v>454</v>
      </c>
      <c r="H99" s="1" t="s">
        <v>1101</v>
      </c>
      <c r="I99" s="1" t="s">
        <v>1011</v>
      </c>
      <c r="J99" s="4">
        <v>69</v>
      </c>
      <c r="K99" t="s">
        <v>50</v>
      </c>
      <c r="L99" t="s">
        <v>103</v>
      </c>
      <c r="M99" s="4">
        <v>1000</v>
      </c>
      <c r="N99" t="s">
        <v>52</v>
      </c>
      <c r="O99" t="s">
        <v>27</v>
      </c>
    </row>
    <row r="100" spans="1:15" x14ac:dyDescent="0.25">
      <c r="A100" t="s">
        <v>14</v>
      </c>
      <c r="B100" t="s">
        <v>455</v>
      </c>
      <c r="C100" t="s">
        <v>456</v>
      </c>
      <c r="D100" t="s">
        <v>457</v>
      </c>
      <c r="E100" t="s">
        <v>458</v>
      </c>
      <c r="F100" s="5" t="s">
        <v>459</v>
      </c>
      <c r="G100" t="s">
        <v>83</v>
      </c>
      <c r="H100" s="1" t="s">
        <v>1102</v>
      </c>
      <c r="I100" s="1" t="s">
        <v>1103</v>
      </c>
      <c r="J100" s="4">
        <v>3</v>
      </c>
      <c r="K100" t="s">
        <v>50</v>
      </c>
      <c r="L100" t="s">
        <v>71</v>
      </c>
      <c r="M100" s="4">
        <v>135</v>
      </c>
      <c r="N100" t="s">
        <v>52</v>
      </c>
      <c r="O100" t="s">
        <v>27</v>
      </c>
    </row>
    <row r="101" spans="1:15" x14ac:dyDescent="0.25">
      <c r="A101" t="s">
        <v>14</v>
      </c>
      <c r="B101" t="s">
        <v>460</v>
      </c>
      <c r="C101" t="s">
        <v>461</v>
      </c>
      <c r="D101" t="s">
        <v>462</v>
      </c>
      <c r="E101" t="s">
        <v>463</v>
      </c>
      <c r="F101" s="4">
        <v>10522</v>
      </c>
      <c r="G101" t="s">
        <v>76</v>
      </c>
      <c r="H101" s="1" t="s">
        <v>1104</v>
      </c>
      <c r="I101" s="1" t="s">
        <v>1105</v>
      </c>
      <c r="J101" s="4">
        <v>20</v>
      </c>
      <c r="K101" t="s">
        <v>136</v>
      </c>
      <c r="L101" t="s">
        <v>136</v>
      </c>
      <c r="M101" s="4">
        <v>33</v>
      </c>
      <c r="N101" t="s">
        <v>52</v>
      </c>
      <c r="O101" t="s">
        <v>27</v>
      </c>
    </row>
    <row r="102" spans="1:15" x14ac:dyDescent="0.25">
      <c r="A102" t="s">
        <v>14</v>
      </c>
      <c r="B102" t="s">
        <v>464</v>
      </c>
      <c r="C102" t="s">
        <v>465</v>
      </c>
      <c r="D102" t="s">
        <v>466</v>
      </c>
      <c r="E102" t="s">
        <v>467</v>
      </c>
      <c r="F102" s="4">
        <v>54891</v>
      </c>
      <c r="G102" t="s">
        <v>324</v>
      </c>
      <c r="H102" s="1" t="s">
        <v>1106</v>
      </c>
      <c r="I102" s="1" t="s">
        <v>1107</v>
      </c>
      <c r="J102" s="4">
        <v>38</v>
      </c>
      <c r="K102" t="s">
        <v>77</v>
      </c>
      <c r="L102" t="s">
        <v>51</v>
      </c>
      <c r="M102" s="4">
        <v>20</v>
      </c>
      <c r="N102" t="s">
        <v>468</v>
      </c>
      <c r="O102" t="s">
        <v>27</v>
      </c>
    </row>
    <row r="103" spans="1:15" x14ac:dyDescent="0.25">
      <c r="A103" t="s">
        <v>14</v>
      </c>
      <c r="B103" t="s">
        <v>469</v>
      </c>
      <c r="C103" t="s">
        <v>350</v>
      </c>
      <c r="D103" t="s">
        <v>470</v>
      </c>
      <c r="E103" t="s">
        <v>471</v>
      </c>
      <c r="F103" s="4">
        <v>12504</v>
      </c>
      <c r="G103" t="s">
        <v>76</v>
      </c>
      <c r="H103" s="1" t="s">
        <v>1108</v>
      </c>
      <c r="I103" s="1" t="s">
        <v>1109</v>
      </c>
      <c r="J103" s="4">
        <v>53</v>
      </c>
      <c r="K103" t="s">
        <v>177</v>
      </c>
      <c r="L103" t="s">
        <v>51</v>
      </c>
      <c r="M103" s="4">
        <v>0</v>
      </c>
      <c r="N103" t="s">
        <v>52</v>
      </c>
      <c r="O103" t="s">
        <v>27</v>
      </c>
    </row>
    <row r="104" spans="1:15" x14ac:dyDescent="0.25">
      <c r="A104" t="s">
        <v>14</v>
      </c>
      <c r="B104" t="s">
        <v>472</v>
      </c>
      <c r="C104" t="s">
        <v>184</v>
      </c>
      <c r="D104" t="s">
        <v>101</v>
      </c>
      <c r="E104" t="s">
        <v>473</v>
      </c>
      <c r="F104" s="4">
        <v>14850</v>
      </c>
      <c r="G104" t="s">
        <v>76</v>
      </c>
      <c r="H104" s="1" t="s">
        <v>979</v>
      </c>
      <c r="I104" s="1" t="s">
        <v>1110</v>
      </c>
      <c r="J104" s="4">
        <v>65</v>
      </c>
      <c r="K104" t="s">
        <v>99</v>
      </c>
      <c r="L104" t="s">
        <v>51</v>
      </c>
      <c r="M104" s="4">
        <v>0</v>
      </c>
      <c r="N104" t="s">
        <v>113</v>
      </c>
      <c r="O104" t="s">
        <v>27</v>
      </c>
    </row>
    <row r="105" spans="1:15" x14ac:dyDescent="0.25">
      <c r="A105" t="s">
        <v>14</v>
      </c>
      <c r="B105" t="s">
        <v>474</v>
      </c>
      <c r="C105" t="s">
        <v>475</v>
      </c>
      <c r="D105" t="s">
        <v>476</v>
      </c>
      <c r="E105" t="s">
        <v>477</v>
      </c>
      <c r="F105" s="4">
        <v>40359</v>
      </c>
      <c r="G105" t="s">
        <v>478</v>
      </c>
      <c r="H105" s="1" t="s">
        <v>1111</v>
      </c>
      <c r="I105" s="1" t="s">
        <v>1009</v>
      </c>
      <c r="J105" s="4">
        <v>73</v>
      </c>
      <c r="K105" t="s">
        <v>77</v>
      </c>
      <c r="L105" t="s">
        <v>51</v>
      </c>
      <c r="M105" s="4">
        <v>1</v>
      </c>
      <c r="N105" t="s">
        <v>113</v>
      </c>
      <c r="O105" t="s">
        <v>27</v>
      </c>
    </row>
    <row r="106" spans="1:15" x14ac:dyDescent="0.25">
      <c r="A106" t="s">
        <v>14</v>
      </c>
      <c r="B106" t="s">
        <v>479</v>
      </c>
      <c r="C106" t="s">
        <v>119</v>
      </c>
      <c r="D106" t="s">
        <v>480</v>
      </c>
      <c r="E106" t="s">
        <v>481</v>
      </c>
      <c r="F106" s="5" t="s">
        <v>482</v>
      </c>
      <c r="G106" t="s">
        <v>70</v>
      </c>
      <c r="H106" s="1" t="s">
        <v>1033</v>
      </c>
      <c r="I106" s="1" t="s">
        <v>1112</v>
      </c>
      <c r="J106" s="4">
        <v>66</v>
      </c>
      <c r="K106" t="s">
        <v>50</v>
      </c>
      <c r="L106" t="s">
        <v>59</v>
      </c>
      <c r="M106" s="4">
        <v>5000</v>
      </c>
      <c r="N106" t="s">
        <v>52</v>
      </c>
      <c r="O106" t="s">
        <v>27</v>
      </c>
    </row>
    <row r="107" spans="1:15" x14ac:dyDescent="0.25">
      <c r="A107" t="s">
        <v>14</v>
      </c>
      <c r="B107" t="s">
        <v>483</v>
      </c>
      <c r="C107" t="s">
        <v>484</v>
      </c>
      <c r="D107" t="s">
        <v>485</v>
      </c>
      <c r="E107" t="s">
        <v>486</v>
      </c>
      <c r="F107" s="5" t="s">
        <v>487</v>
      </c>
      <c r="G107" t="s">
        <v>70</v>
      </c>
      <c r="H107" s="1" t="s">
        <v>1113</v>
      </c>
      <c r="I107" s="1" t="s">
        <v>1086</v>
      </c>
      <c r="J107" s="4">
        <v>59</v>
      </c>
      <c r="K107" t="s">
        <v>50</v>
      </c>
      <c r="L107" t="s">
        <v>103</v>
      </c>
      <c r="M107" s="4">
        <v>500</v>
      </c>
      <c r="N107" t="s">
        <v>52</v>
      </c>
      <c r="O107" t="s">
        <v>27</v>
      </c>
    </row>
    <row r="108" spans="1:15" x14ac:dyDescent="0.25">
      <c r="A108" t="s">
        <v>14</v>
      </c>
      <c r="B108" t="s">
        <v>488</v>
      </c>
      <c r="C108" t="s">
        <v>213</v>
      </c>
      <c r="D108" t="s">
        <v>489</v>
      </c>
      <c r="E108" t="s">
        <v>490</v>
      </c>
      <c r="F108" s="4">
        <v>14094</v>
      </c>
      <c r="G108" t="s">
        <v>76</v>
      </c>
      <c r="H108" s="1" t="s">
        <v>1114</v>
      </c>
      <c r="I108" s="1" t="s">
        <v>1115</v>
      </c>
      <c r="J108" s="4">
        <v>67</v>
      </c>
      <c r="K108" t="s">
        <v>156</v>
      </c>
      <c r="L108" t="s">
        <v>51</v>
      </c>
      <c r="M108" s="4">
        <v>500</v>
      </c>
      <c r="N108" t="s">
        <v>113</v>
      </c>
      <c r="O108" t="s">
        <v>27</v>
      </c>
    </row>
    <row r="109" spans="1:15" x14ac:dyDescent="0.25">
      <c r="A109" t="s">
        <v>14</v>
      </c>
      <c r="B109" t="s">
        <v>491</v>
      </c>
      <c r="C109" t="s">
        <v>492</v>
      </c>
      <c r="D109" t="s">
        <v>493</v>
      </c>
      <c r="E109" t="s">
        <v>494</v>
      </c>
      <c r="F109" s="4">
        <v>95616</v>
      </c>
      <c r="G109" t="s">
        <v>147</v>
      </c>
      <c r="H109" s="1" t="s">
        <v>1116</v>
      </c>
      <c r="I109" s="1" t="s">
        <v>1117</v>
      </c>
      <c r="J109" s="4">
        <v>64</v>
      </c>
      <c r="K109" t="s">
        <v>156</v>
      </c>
      <c r="L109" t="s">
        <v>51</v>
      </c>
      <c r="M109" s="4">
        <v>0</v>
      </c>
      <c r="N109" t="s">
        <v>113</v>
      </c>
      <c r="O109" t="s">
        <v>27</v>
      </c>
    </row>
    <row r="110" spans="1:15" x14ac:dyDescent="0.25">
      <c r="A110" t="s">
        <v>14</v>
      </c>
      <c r="B110" t="s">
        <v>495</v>
      </c>
      <c r="C110" t="s">
        <v>95</v>
      </c>
      <c r="D110" t="s">
        <v>496</v>
      </c>
      <c r="E110" t="s">
        <v>497</v>
      </c>
      <c r="F110" s="4">
        <v>12572</v>
      </c>
      <c r="G110" t="s">
        <v>76</v>
      </c>
      <c r="H110" s="1" t="s">
        <v>1118</v>
      </c>
      <c r="I110" s="1" t="s">
        <v>1119</v>
      </c>
      <c r="J110" s="4">
        <v>72</v>
      </c>
      <c r="K110" t="s">
        <v>50</v>
      </c>
      <c r="L110" t="s">
        <v>51</v>
      </c>
      <c r="M110" s="4">
        <v>1</v>
      </c>
      <c r="N110" t="s">
        <v>52</v>
      </c>
      <c r="O110" t="s">
        <v>27</v>
      </c>
    </row>
    <row r="111" spans="1:15" x14ac:dyDescent="0.25">
      <c r="A111" t="s">
        <v>14</v>
      </c>
      <c r="B111" t="s">
        <v>498</v>
      </c>
      <c r="C111" t="s">
        <v>499</v>
      </c>
      <c r="D111" t="s">
        <v>500</v>
      </c>
      <c r="E111" t="s">
        <v>501</v>
      </c>
      <c r="F111" s="4">
        <v>53968</v>
      </c>
      <c r="G111" t="s">
        <v>324</v>
      </c>
      <c r="H111" s="1" t="s">
        <v>1120</v>
      </c>
      <c r="I111" s="1" t="s">
        <v>1121</v>
      </c>
      <c r="J111" s="4">
        <v>46</v>
      </c>
      <c r="K111" t="s">
        <v>93</v>
      </c>
      <c r="L111" t="s">
        <v>51</v>
      </c>
      <c r="M111" s="4">
        <v>160</v>
      </c>
      <c r="N111" t="s">
        <v>468</v>
      </c>
      <c r="O111" t="s">
        <v>27</v>
      </c>
    </row>
    <row r="112" spans="1:15" x14ac:dyDescent="0.25">
      <c r="A112" t="s">
        <v>14</v>
      </c>
      <c r="B112" t="s">
        <v>502</v>
      </c>
      <c r="C112" t="s">
        <v>503</v>
      </c>
      <c r="D112" t="s">
        <v>504</v>
      </c>
      <c r="E112" t="s">
        <v>505</v>
      </c>
      <c r="F112" s="4" t="s">
        <v>506</v>
      </c>
      <c r="G112" t="s">
        <v>507</v>
      </c>
      <c r="H112" s="1" t="s">
        <v>1122</v>
      </c>
      <c r="I112" s="1" t="s">
        <v>961</v>
      </c>
      <c r="J112" s="4">
        <v>153</v>
      </c>
      <c r="K112" t="s">
        <v>93</v>
      </c>
      <c r="L112" t="s">
        <v>51</v>
      </c>
      <c r="M112" s="4">
        <v>3000</v>
      </c>
      <c r="N112" t="s">
        <v>113</v>
      </c>
      <c r="O112" t="s">
        <v>150</v>
      </c>
    </row>
    <row r="113" spans="1:15" x14ac:dyDescent="0.25">
      <c r="A113" t="s">
        <v>14</v>
      </c>
      <c r="B113" t="s">
        <v>508</v>
      </c>
      <c r="C113" t="s">
        <v>509</v>
      </c>
      <c r="D113" t="s">
        <v>510</v>
      </c>
      <c r="E113" t="s">
        <v>511</v>
      </c>
      <c r="F113" s="4">
        <v>98394</v>
      </c>
      <c r="G113" t="s">
        <v>512</v>
      </c>
      <c r="H113" s="1" t="s">
        <v>1123</v>
      </c>
      <c r="I113" s="1" t="s">
        <v>961</v>
      </c>
      <c r="J113" s="4">
        <v>66</v>
      </c>
      <c r="K113" t="s">
        <v>88</v>
      </c>
      <c r="L113" t="s">
        <v>103</v>
      </c>
      <c r="M113" s="4">
        <v>5100</v>
      </c>
      <c r="N113" t="s">
        <v>52</v>
      </c>
      <c r="O113" t="s">
        <v>27</v>
      </c>
    </row>
    <row r="114" spans="1:15" x14ac:dyDescent="0.25">
      <c r="A114" t="s">
        <v>14</v>
      </c>
      <c r="B114" t="s">
        <v>513</v>
      </c>
      <c r="C114" t="s">
        <v>451</v>
      </c>
      <c r="D114" t="s">
        <v>514</v>
      </c>
      <c r="E114" t="s">
        <v>515</v>
      </c>
      <c r="F114" s="4">
        <v>12955</v>
      </c>
      <c r="G114" t="s">
        <v>76</v>
      </c>
      <c r="H114" s="1" t="s">
        <v>1124</v>
      </c>
      <c r="I114" s="1" t="s">
        <v>1125</v>
      </c>
      <c r="J114" s="4">
        <v>10</v>
      </c>
      <c r="K114" t="s">
        <v>516</v>
      </c>
      <c r="L114" t="s">
        <v>51</v>
      </c>
      <c r="M114" s="4">
        <v>172</v>
      </c>
      <c r="N114" t="s">
        <v>52</v>
      </c>
      <c r="O114" t="s">
        <v>27</v>
      </c>
    </row>
    <row r="115" spans="1:15" x14ac:dyDescent="0.25">
      <c r="A115" t="s">
        <v>14</v>
      </c>
      <c r="B115" t="s">
        <v>517</v>
      </c>
      <c r="C115" t="s">
        <v>518</v>
      </c>
      <c r="D115" t="s">
        <v>519</v>
      </c>
      <c r="E115" t="s">
        <v>520</v>
      </c>
      <c r="F115" s="4">
        <v>48624</v>
      </c>
      <c r="G115" t="s">
        <v>521</v>
      </c>
      <c r="H115" s="1" t="s">
        <v>1126</v>
      </c>
      <c r="I115" s="1" t="s">
        <v>1089</v>
      </c>
      <c r="J115" s="4">
        <v>66</v>
      </c>
      <c r="K115" t="s">
        <v>93</v>
      </c>
      <c r="L115" t="s">
        <v>51</v>
      </c>
      <c r="M115" s="4">
        <v>80</v>
      </c>
      <c r="N115" t="s">
        <v>52</v>
      </c>
      <c r="O115" t="s">
        <v>27</v>
      </c>
    </row>
    <row r="116" spans="1:15" x14ac:dyDescent="0.25">
      <c r="A116" t="s">
        <v>14</v>
      </c>
      <c r="B116" t="s">
        <v>522</v>
      </c>
      <c r="C116" t="s">
        <v>523</v>
      </c>
      <c r="D116" t="s">
        <v>524</v>
      </c>
      <c r="E116" t="s">
        <v>525</v>
      </c>
      <c r="F116" s="4">
        <v>10506</v>
      </c>
      <c r="G116" t="s">
        <v>76</v>
      </c>
      <c r="H116" s="1" t="s">
        <v>1127</v>
      </c>
      <c r="I116" s="1" t="s">
        <v>1128</v>
      </c>
      <c r="J116" s="4">
        <v>27</v>
      </c>
      <c r="K116" t="s">
        <v>136</v>
      </c>
      <c r="L116" t="s">
        <v>51</v>
      </c>
      <c r="M116" s="4">
        <v>5.5</v>
      </c>
      <c r="N116" t="s">
        <v>113</v>
      </c>
      <c r="O116" t="s">
        <v>27</v>
      </c>
    </row>
    <row r="117" spans="1:15" x14ac:dyDescent="0.25">
      <c r="A117" t="s">
        <v>14</v>
      </c>
      <c r="B117" t="s">
        <v>526</v>
      </c>
      <c r="C117" t="s">
        <v>527</v>
      </c>
      <c r="D117" t="s">
        <v>528</v>
      </c>
      <c r="E117" t="s">
        <v>529</v>
      </c>
      <c r="F117" s="4">
        <v>48823</v>
      </c>
      <c r="G117" t="s">
        <v>521</v>
      </c>
      <c r="H117" s="1" t="s">
        <v>1129</v>
      </c>
      <c r="I117" s="1" t="s">
        <v>971</v>
      </c>
      <c r="J117" s="4">
        <v>70</v>
      </c>
      <c r="K117" t="s">
        <v>156</v>
      </c>
      <c r="L117" t="s">
        <v>103</v>
      </c>
      <c r="M117" s="4">
        <v>5</v>
      </c>
      <c r="N117" t="s">
        <v>52</v>
      </c>
      <c r="O117" t="s">
        <v>27</v>
      </c>
    </row>
    <row r="118" spans="1:15" x14ac:dyDescent="0.25">
      <c r="A118" t="s">
        <v>14</v>
      </c>
      <c r="B118" t="s">
        <v>530</v>
      </c>
      <c r="C118" t="s">
        <v>531</v>
      </c>
      <c r="D118" t="s">
        <v>532</v>
      </c>
      <c r="E118" t="s">
        <v>533</v>
      </c>
      <c r="F118" s="5" t="s">
        <v>534</v>
      </c>
      <c r="G118" t="s">
        <v>83</v>
      </c>
      <c r="H118" s="1" t="s">
        <v>1130</v>
      </c>
      <c r="I118" s="1" t="s">
        <v>1009</v>
      </c>
      <c r="J118" s="4">
        <v>78</v>
      </c>
      <c r="K118" t="s">
        <v>50</v>
      </c>
      <c r="L118" t="s">
        <v>51</v>
      </c>
      <c r="M118" s="4">
        <v>1000</v>
      </c>
      <c r="N118" t="s">
        <v>113</v>
      </c>
      <c r="O118" t="s">
        <v>27</v>
      </c>
    </row>
    <row r="119" spans="1:15" x14ac:dyDescent="0.25">
      <c r="A119" t="s">
        <v>14</v>
      </c>
      <c r="B119" t="s">
        <v>535</v>
      </c>
      <c r="C119" t="s">
        <v>536</v>
      </c>
      <c r="D119" t="s">
        <v>537</v>
      </c>
      <c r="E119" t="s">
        <v>538</v>
      </c>
      <c r="F119" s="4">
        <v>13367</v>
      </c>
      <c r="G119" t="s">
        <v>76</v>
      </c>
      <c r="H119" s="1" t="s">
        <v>1131</v>
      </c>
      <c r="I119" s="1" t="s">
        <v>1009</v>
      </c>
      <c r="J119" s="4">
        <v>81</v>
      </c>
      <c r="K119" t="s">
        <v>50</v>
      </c>
      <c r="L119" t="s">
        <v>51</v>
      </c>
      <c r="M119" s="4">
        <v>10000</v>
      </c>
      <c r="N119" t="s">
        <v>52</v>
      </c>
      <c r="O119" t="s">
        <v>27</v>
      </c>
    </row>
    <row r="120" spans="1:15" x14ac:dyDescent="0.25">
      <c r="A120" t="s">
        <v>14</v>
      </c>
      <c r="B120" t="s">
        <v>539</v>
      </c>
      <c r="C120" t="s">
        <v>540</v>
      </c>
      <c r="D120" t="s">
        <v>541</v>
      </c>
      <c r="E120" t="s">
        <v>542</v>
      </c>
      <c r="F120" s="4">
        <v>12540</v>
      </c>
      <c r="G120" t="s">
        <v>76</v>
      </c>
      <c r="H120" s="1" t="s">
        <v>1132</v>
      </c>
      <c r="I120" s="1" t="s">
        <v>1133</v>
      </c>
      <c r="J120" s="4">
        <v>60</v>
      </c>
      <c r="K120" t="s">
        <v>88</v>
      </c>
      <c r="L120" t="s">
        <v>216</v>
      </c>
      <c r="M120" s="4">
        <v>30</v>
      </c>
      <c r="N120" t="s">
        <v>113</v>
      </c>
      <c r="O120" t="s">
        <v>27</v>
      </c>
    </row>
    <row r="121" spans="1:15" x14ac:dyDescent="0.25">
      <c r="A121" t="s">
        <v>14</v>
      </c>
      <c r="B121" t="s">
        <v>543</v>
      </c>
      <c r="C121" t="s">
        <v>544</v>
      </c>
      <c r="D121" t="s">
        <v>545</v>
      </c>
      <c r="E121" t="s">
        <v>546</v>
      </c>
      <c r="F121" s="4">
        <v>14850</v>
      </c>
      <c r="G121" t="s">
        <v>76</v>
      </c>
      <c r="H121" s="1" t="s">
        <v>1134</v>
      </c>
      <c r="I121" s="1" t="s">
        <v>961</v>
      </c>
      <c r="J121" s="4">
        <v>71</v>
      </c>
      <c r="K121" t="s">
        <v>88</v>
      </c>
      <c r="L121" t="s">
        <v>216</v>
      </c>
      <c r="M121" s="4">
        <v>10</v>
      </c>
      <c r="N121" t="s">
        <v>52</v>
      </c>
      <c r="O121" t="s">
        <v>27</v>
      </c>
    </row>
    <row r="122" spans="1:15" x14ac:dyDescent="0.25">
      <c r="A122" t="s">
        <v>14</v>
      </c>
      <c r="B122" t="s">
        <v>547</v>
      </c>
      <c r="C122" t="s">
        <v>548</v>
      </c>
      <c r="D122" t="s">
        <v>549</v>
      </c>
      <c r="E122" t="s">
        <v>550</v>
      </c>
      <c r="F122" s="4">
        <v>12981</v>
      </c>
      <c r="G122" t="s">
        <v>76</v>
      </c>
      <c r="H122" s="1" t="s">
        <v>1135</v>
      </c>
      <c r="I122" s="1" t="s">
        <v>1025</v>
      </c>
      <c r="J122" s="4">
        <v>62</v>
      </c>
      <c r="K122" t="s">
        <v>88</v>
      </c>
      <c r="L122" t="s">
        <v>51</v>
      </c>
      <c r="M122" s="4">
        <v>100</v>
      </c>
      <c r="N122" t="s">
        <v>52</v>
      </c>
      <c r="O122" t="s">
        <v>27</v>
      </c>
    </row>
    <row r="123" spans="1:15" x14ac:dyDescent="0.25">
      <c r="A123" t="s">
        <v>14</v>
      </c>
      <c r="B123" t="s">
        <v>551</v>
      </c>
      <c r="C123" t="s">
        <v>552</v>
      </c>
      <c r="D123" t="s">
        <v>553</v>
      </c>
      <c r="E123" t="s">
        <v>554</v>
      </c>
      <c r="F123" s="5" t="s">
        <v>555</v>
      </c>
      <c r="G123" t="s">
        <v>70</v>
      </c>
      <c r="H123" s="1" t="s">
        <v>1136</v>
      </c>
      <c r="I123" s="1" t="s">
        <v>1137</v>
      </c>
      <c r="J123" s="4">
        <v>61</v>
      </c>
      <c r="K123" t="s">
        <v>93</v>
      </c>
      <c r="L123" t="s">
        <v>51</v>
      </c>
      <c r="M123" s="4">
        <v>300</v>
      </c>
      <c r="N123" t="s">
        <v>113</v>
      </c>
      <c r="O123" t="s">
        <v>27</v>
      </c>
    </row>
    <row r="124" spans="1:15" x14ac:dyDescent="0.25">
      <c r="A124" t="s">
        <v>14</v>
      </c>
      <c r="B124" t="s">
        <v>556</v>
      </c>
      <c r="C124" t="s">
        <v>557</v>
      </c>
      <c r="D124" t="s">
        <v>558</v>
      </c>
      <c r="E124" t="s">
        <v>559</v>
      </c>
      <c r="F124" s="4">
        <v>13210</v>
      </c>
      <c r="G124" t="s">
        <v>76</v>
      </c>
      <c r="H124" s="1" t="s">
        <v>1138</v>
      </c>
      <c r="I124" s="1" t="s">
        <v>961</v>
      </c>
      <c r="J124" s="4">
        <v>62</v>
      </c>
      <c r="K124" t="s">
        <v>99</v>
      </c>
      <c r="L124" t="s">
        <v>51</v>
      </c>
      <c r="M124" s="4">
        <v>0</v>
      </c>
      <c r="N124" t="s">
        <v>113</v>
      </c>
      <c r="O124" t="s">
        <v>27</v>
      </c>
    </row>
    <row r="125" spans="1:15" x14ac:dyDescent="0.25">
      <c r="A125" t="s">
        <v>14</v>
      </c>
      <c r="B125" t="s">
        <v>560</v>
      </c>
      <c r="C125" t="s">
        <v>561</v>
      </c>
      <c r="D125" t="s">
        <v>562</v>
      </c>
      <c r="E125" t="s">
        <v>563</v>
      </c>
      <c r="F125" s="4">
        <v>49668</v>
      </c>
      <c r="G125" t="s">
        <v>521</v>
      </c>
      <c r="H125" s="1" t="s">
        <v>1139</v>
      </c>
      <c r="I125" s="1" t="s">
        <v>961</v>
      </c>
      <c r="J125" s="4">
        <v>6</v>
      </c>
      <c r="K125" t="s">
        <v>136</v>
      </c>
      <c r="L125" t="s">
        <v>51</v>
      </c>
      <c r="M125" s="4">
        <v>40</v>
      </c>
      <c r="N125" t="s">
        <v>468</v>
      </c>
      <c r="O125" t="s">
        <v>27</v>
      </c>
    </row>
    <row r="126" spans="1:15" x14ac:dyDescent="0.25">
      <c r="A126" t="s">
        <v>14</v>
      </c>
      <c r="B126" t="s">
        <v>564</v>
      </c>
      <c r="C126" t="s">
        <v>565</v>
      </c>
      <c r="D126" t="s">
        <v>566</v>
      </c>
      <c r="E126" t="s">
        <v>567</v>
      </c>
      <c r="F126" s="4">
        <v>16354</v>
      </c>
      <c r="G126" t="s">
        <v>165</v>
      </c>
      <c r="H126" s="1" t="s">
        <v>1140</v>
      </c>
      <c r="I126" s="1" t="s">
        <v>1141</v>
      </c>
      <c r="J126" s="4">
        <v>75</v>
      </c>
      <c r="K126" t="s">
        <v>50</v>
      </c>
      <c r="L126" t="s">
        <v>103</v>
      </c>
      <c r="M126" s="4">
        <v>250</v>
      </c>
      <c r="N126" t="s">
        <v>52</v>
      </c>
      <c r="O126" t="s">
        <v>27</v>
      </c>
    </row>
    <row r="127" spans="1:15" x14ac:dyDescent="0.25">
      <c r="A127" t="s">
        <v>14</v>
      </c>
      <c r="B127" t="s">
        <v>568</v>
      </c>
      <c r="C127" t="s">
        <v>569</v>
      </c>
      <c r="D127" t="s">
        <v>570</v>
      </c>
      <c r="E127" t="s">
        <v>571</v>
      </c>
      <c r="F127" s="4">
        <v>14559</v>
      </c>
      <c r="G127" t="s">
        <v>76</v>
      </c>
      <c r="H127" s="1" t="s">
        <v>1142</v>
      </c>
      <c r="I127" s="1" t="s">
        <v>980</v>
      </c>
      <c r="J127" s="4">
        <v>65</v>
      </c>
      <c r="K127" t="s">
        <v>93</v>
      </c>
      <c r="L127" t="s">
        <v>51</v>
      </c>
      <c r="M127" s="4">
        <v>100</v>
      </c>
      <c r="N127" t="s">
        <v>468</v>
      </c>
      <c r="O127" t="s">
        <v>27</v>
      </c>
    </row>
    <row r="128" spans="1:15" x14ac:dyDescent="0.25">
      <c r="A128" t="s">
        <v>14</v>
      </c>
      <c r="B128" t="s">
        <v>572</v>
      </c>
      <c r="C128" t="s">
        <v>527</v>
      </c>
      <c r="D128" t="s">
        <v>573</v>
      </c>
      <c r="E128" t="s">
        <v>574</v>
      </c>
      <c r="F128" s="5" t="s">
        <v>575</v>
      </c>
      <c r="G128" t="s">
        <v>176</v>
      </c>
      <c r="H128" s="1" t="s">
        <v>1032</v>
      </c>
      <c r="I128" s="1" t="s">
        <v>961</v>
      </c>
      <c r="J128" s="4">
        <v>73</v>
      </c>
      <c r="K128" t="s">
        <v>225</v>
      </c>
      <c r="L128" t="s">
        <v>300</v>
      </c>
      <c r="M128" s="4">
        <v>400</v>
      </c>
      <c r="N128" t="s">
        <v>52</v>
      </c>
      <c r="O128" t="s">
        <v>27</v>
      </c>
    </row>
    <row r="129" spans="1:15" x14ac:dyDescent="0.25">
      <c r="A129" t="s">
        <v>14</v>
      </c>
      <c r="B129" t="s">
        <v>576</v>
      </c>
      <c r="C129" t="s">
        <v>503</v>
      </c>
      <c r="D129" t="s">
        <v>577</v>
      </c>
      <c r="E129" t="s">
        <v>578</v>
      </c>
      <c r="F129" s="5" t="s">
        <v>579</v>
      </c>
      <c r="G129" t="s">
        <v>70</v>
      </c>
      <c r="H129" s="1" t="s">
        <v>1143</v>
      </c>
      <c r="I129" s="1" t="s">
        <v>980</v>
      </c>
      <c r="J129" s="4">
        <v>64</v>
      </c>
      <c r="K129" t="s">
        <v>77</v>
      </c>
      <c r="L129" t="s">
        <v>71</v>
      </c>
      <c r="M129" s="4">
        <v>48000</v>
      </c>
      <c r="N129" t="s">
        <v>113</v>
      </c>
      <c r="O129" t="s">
        <v>27</v>
      </c>
    </row>
    <row r="130" spans="1:15" x14ac:dyDescent="0.25">
      <c r="A130" t="s">
        <v>14</v>
      </c>
      <c r="B130" t="s">
        <v>580</v>
      </c>
      <c r="C130" t="s">
        <v>581</v>
      </c>
      <c r="D130" t="s">
        <v>582</v>
      </c>
      <c r="E130" t="s">
        <v>583</v>
      </c>
      <c r="F130" s="5" t="s">
        <v>584</v>
      </c>
      <c r="G130" t="s">
        <v>70</v>
      </c>
      <c r="H130" s="1" t="s">
        <v>1144</v>
      </c>
      <c r="I130" s="1" t="s">
        <v>1145</v>
      </c>
      <c r="J130" s="4">
        <v>8</v>
      </c>
      <c r="K130" t="s">
        <v>136</v>
      </c>
      <c r="L130" t="s">
        <v>51</v>
      </c>
      <c r="M130" s="4">
        <v>90</v>
      </c>
      <c r="N130" t="s">
        <v>113</v>
      </c>
      <c r="O130" t="s">
        <v>27</v>
      </c>
    </row>
    <row r="131" spans="1:15" x14ac:dyDescent="0.25">
      <c r="A131" t="s">
        <v>14</v>
      </c>
      <c r="B131" t="s">
        <v>585</v>
      </c>
      <c r="C131" t="s">
        <v>586</v>
      </c>
      <c r="D131" t="s">
        <v>587</v>
      </c>
      <c r="E131" t="s">
        <v>588</v>
      </c>
      <c r="F131" s="5" t="s">
        <v>589</v>
      </c>
      <c r="G131" t="s">
        <v>83</v>
      </c>
      <c r="H131" s="1" t="s">
        <v>1146</v>
      </c>
      <c r="I131" s="1" t="s">
        <v>1009</v>
      </c>
      <c r="J131" s="4">
        <v>62</v>
      </c>
      <c r="K131" t="s">
        <v>77</v>
      </c>
      <c r="L131" t="s">
        <v>51</v>
      </c>
      <c r="M131" s="4" t="s">
        <v>590</v>
      </c>
      <c r="N131" t="s">
        <v>468</v>
      </c>
      <c r="O131" t="s">
        <v>27</v>
      </c>
    </row>
    <row r="132" spans="1:15" x14ac:dyDescent="0.25">
      <c r="A132" t="s">
        <v>14</v>
      </c>
      <c r="B132" t="s">
        <v>591</v>
      </c>
      <c r="C132" t="s">
        <v>592</v>
      </c>
      <c r="D132" t="s">
        <v>593</v>
      </c>
      <c r="E132" t="s">
        <v>594</v>
      </c>
      <c r="F132" s="4">
        <v>12054</v>
      </c>
      <c r="G132" t="s">
        <v>76</v>
      </c>
      <c r="H132" s="1" t="s">
        <v>1147</v>
      </c>
      <c r="I132" s="1" t="s">
        <v>1148</v>
      </c>
      <c r="J132" s="4">
        <v>61</v>
      </c>
      <c r="K132" t="s">
        <v>77</v>
      </c>
      <c r="L132" t="s">
        <v>51</v>
      </c>
      <c r="M132" s="4">
        <v>0</v>
      </c>
      <c r="N132" t="s">
        <v>52</v>
      </c>
      <c r="O132" t="s">
        <v>27</v>
      </c>
    </row>
    <row r="133" spans="1:15" x14ac:dyDescent="0.25">
      <c r="A133" t="s">
        <v>14</v>
      </c>
      <c r="B133" t="s">
        <v>595</v>
      </c>
      <c r="C133" t="s">
        <v>109</v>
      </c>
      <c r="D133" t="s">
        <v>596</v>
      </c>
      <c r="E133" t="s">
        <v>597</v>
      </c>
      <c r="F133" s="4">
        <v>18657</v>
      </c>
      <c r="G133" t="s">
        <v>165</v>
      </c>
      <c r="H133" s="1" t="s">
        <v>1149</v>
      </c>
      <c r="I133" s="1" t="s">
        <v>1041</v>
      </c>
      <c r="J133" s="4">
        <v>70</v>
      </c>
      <c r="K133" t="s">
        <v>50</v>
      </c>
      <c r="L133" t="s">
        <v>103</v>
      </c>
      <c r="M133" s="4">
        <v>5000</v>
      </c>
      <c r="N133" t="s">
        <v>52</v>
      </c>
      <c r="O133" t="s">
        <v>27</v>
      </c>
    </row>
    <row r="134" spans="1:15" x14ac:dyDescent="0.25">
      <c r="A134" t="s">
        <v>14</v>
      </c>
      <c r="B134" t="s">
        <v>598</v>
      </c>
      <c r="C134" t="s">
        <v>599</v>
      </c>
      <c r="D134" t="s">
        <v>600</v>
      </c>
      <c r="E134" t="s">
        <v>601</v>
      </c>
      <c r="F134" s="4">
        <v>48446</v>
      </c>
      <c r="G134" t="s">
        <v>521</v>
      </c>
      <c r="H134" s="1" t="s">
        <v>1150</v>
      </c>
      <c r="I134" s="1" t="s">
        <v>1020</v>
      </c>
      <c r="J134" s="4">
        <v>67</v>
      </c>
      <c r="K134" t="s">
        <v>77</v>
      </c>
      <c r="L134" t="s">
        <v>51</v>
      </c>
      <c r="M134" s="4">
        <v>10</v>
      </c>
      <c r="N134" t="s">
        <v>113</v>
      </c>
      <c r="O134" t="s">
        <v>27</v>
      </c>
    </row>
    <row r="135" spans="1:15" x14ac:dyDescent="0.25">
      <c r="A135" t="s">
        <v>14</v>
      </c>
      <c r="B135" t="s">
        <v>602</v>
      </c>
      <c r="C135" t="s">
        <v>603</v>
      </c>
      <c r="D135" t="s">
        <v>604</v>
      </c>
      <c r="E135" t="s">
        <v>605</v>
      </c>
      <c r="F135" s="5" t="s">
        <v>606</v>
      </c>
      <c r="G135" t="s">
        <v>83</v>
      </c>
      <c r="H135" s="1" t="s">
        <v>1151</v>
      </c>
      <c r="I135" s="1" t="s">
        <v>1152</v>
      </c>
      <c r="J135" s="4">
        <v>63</v>
      </c>
      <c r="K135" t="s">
        <v>50</v>
      </c>
      <c r="L135" t="s">
        <v>71</v>
      </c>
      <c r="M135" s="4">
        <v>3500</v>
      </c>
      <c r="N135" t="s">
        <v>52</v>
      </c>
      <c r="O135" t="s">
        <v>27</v>
      </c>
    </row>
    <row r="136" spans="1:15" x14ac:dyDescent="0.25">
      <c r="A136" t="s">
        <v>14</v>
      </c>
      <c r="B136" t="s">
        <v>607</v>
      </c>
      <c r="C136" t="s">
        <v>296</v>
      </c>
      <c r="D136" t="s">
        <v>608</v>
      </c>
      <c r="E136" t="s">
        <v>609</v>
      </c>
      <c r="F136" s="4">
        <v>32948</v>
      </c>
      <c r="G136" t="s">
        <v>136</v>
      </c>
      <c r="H136" s="1" t="s">
        <v>1153</v>
      </c>
      <c r="I136" s="1" t="s">
        <v>1154</v>
      </c>
      <c r="J136" s="4">
        <v>67</v>
      </c>
      <c r="K136" t="s">
        <v>77</v>
      </c>
      <c r="L136" t="s">
        <v>51</v>
      </c>
      <c r="M136" s="4">
        <v>190</v>
      </c>
      <c r="N136" t="s">
        <v>113</v>
      </c>
      <c r="O136" t="s">
        <v>611</v>
      </c>
    </row>
    <row r="137" spans="1:15" x14ac:dyDescent="0.25">
      <c r="A137" t="s">
        <v>14</v>
      </c>
      <c r="B137" t="s">
        <v>612</v>
      </c>
      <c r="C137" t="s">
        <v>548</v>
      </c>
      <c r="D137" t="s">
        <v>613</v>
      </c>
      <c r="E137" t="s">
        <v>614</v>
      </c>
      <c r="F137" s="4">
        <v>13045</v>
      </c>
      <c r="G137" t="s">
        <v>76</v>
      </c>
      <c r="H137" s="1" t="s">
        <v>1155</v>
      </c>
      <c r="I137" s="1" t="s">
        <v>1156</v>
      </c>
      <c r="J137" s="4">
        <v>70</v>
      </c>
      <c r="K137" t="s">
        <v>50</v>
      </c>
      <c r="L137" t="s">
        <v>51</v>
      </c>
      <c r="M137" s="4">
        <v>37000</v>
      </c>
      <c r="N137" t="s">
        <v>52</v>
      </c>
      <c r="O137" t="s">
        <v>27</v>
      </c>
    </row>
    <row r="138" spans="1:15" x14ac:dyDescent="0.25">
      <c r="A138" t="s">
        <v>14</v>
      </c>
      <c r="B138" t="s">
        <v>615</v>
      </c>
      <c r="C138" t="s">
        <v>616</v>
      </c>
      <c r="D138" t="s">
        <v>617</v>
      </c>
      <c r="E138" t="s">
        <v>618</v>
      </c>
      <c r="F138" s="5" t="s">
        <v>619</v>
      </c>
      <c r="G138" t="s">
        <v>58</v>
      </c>
      <c r="H138" s="1" t="s">
        <v>1157</v>
      </c>
      <c r="I138" s="1" t="s">
        <v>1158</v>
      </c>
      <c r="J138" s="4">
        <v>90</v>
      </c>
      <c r="K138" t="s">
        <v>50</v>
      </c>
      <c r="L138" t="s">
        <v>59</v>
      </c>
      <c r="M138" s="4">
        <v>2000</v>
      </c>
      <c r="N138" t="s">
        <v>52</v>
      </c>
      <c r="O138" t="s">
        <v>27</v>
      </c>
    </row>
    <row r="139" spans="1:15" x14ac:dyDescent="0.25">
      <c r="A139" t="s">
        <v>14</v>
      </c>
      <c r="B139" t="s">
        <v>620</v>
      </c>
      <c r="C139" t="s">
        <v>292</v>
      </c>
      <c r="D139" t="s">
        <v>621</v>
      </c>
      <c r="E139" t="s">
        <v>622</v>
      </c>
      <c r="F139" s="5" t="s">
        <v>623</v>
      </c>
      <c r="G139" t="s">
        <v>70</v>
      </c>
      <c r="H139" s="1" t="s">
        <v>1159</v>
      </c>
      <c r="I139" s="1" t="s">
        <v>1160</v>
      </c>
      <c r="J139" s="4">
        <v>57</v>
      </c>
      <c r="K139" t="s">
        <v>50</v>
      </c>
      <c r="L139" t="s">
        <v>71</v>
      </c>
      <c r="M139" s="4" t="s">
        <v>624</v>
      </c>
      <c r="N139" t="s">
        <v>52</v>
      </c>
      <c r="O139" t="s">
        <v>27</v>
      </c>
    </row>
    <row r="140" spans="1:15" x14ac:dyDescent="0.25">
      <c r="A140" t="s">
        <v>14</v>
      </c>
      <c r="B140" t="s">
        <v>625</v>
      </c>
      <c r="C140" t="s">
        <v>626</v>
      </c>
      <c r="D140" t="s">
        <v>627</v>
      </c>
      <c r="E140" t="s">
        <v>628</v>
      </c>
      <c r="F140" s="4">
        <v>42156</v>
      </c>
      <c r="G140" t="s">
        <v>478</v>
      </c>
      <c r="H140" s="1" t="s">
        <v>1161</v>
      </c>
      <c r="I140" s="1" t="s">
        <v>1162</v>
      </c>
      <c r="J140" s="4">
        <v>46</v>
      </c>
      <c r="K140" t="s">
        <v>77</v>
      </c>
      <c r="L140" t="s">
        <v>51</v>
      </c>
      <c r="M140" s="4">
        <v>19000</v>
      </c>
      <c r="N140" t="s">
        <v>52</v>
      </c>
      <c r="O140" t="s">
        <v>27</v>
      </c>
    </row>
    <row r="141" spans="1:15" x14ac:dyDescent="0.25">
      <c r="A141" t="s">
        <v>14</v>
      </c>
      <c r="B141" t="s">
        <v>629</v>
      </c>
      <c r="C141" t="s">
        <v>630</v>
      </c>
      <c r="D141" t="s">
        <v>631</v>
      </c>
      <c r="E141" t="s">
        <v>632</v>
      </c>
      <c r="F141" s="5" t="s">
        <v>633</v>
      </c>
      <c r="G141" t="s">
        <v>70</v>
      </c>
      <c r="H141" s="1" t="s">
        <v>1163</v>
      </c>
      <c r="I141" s="1" t="s">
        <v>1164</v>
      </c>
      <c r="J141" s="4">
        <v>64</v>
      </c>
      <c r="K141" t="s">
        <v>50</v>
      </c>
      <c r="L141" t="s">
        <v>71</v>
      </c>
      <c r="M141" s="4">
        <v>14000</v>
      </c>
      <c r="N141" t="s">
        <v>52</v>
      </c>
      <c r="O141" t="s">
        <v>27</v>
      </c>
    </row>
    <row r="142" spans="1:15" x14ac:dyDescent="0.25">
      <c r="A142" t="s">
        <v>14</v>
      </c>
      <c r="B142" t="s">
        <v>634</v>
      </c>
      <c r="C142" t="s">
        <v>330</v>
      </c>
      <c r="D142" t="s">
        <v>635</v>
      </c>
      <c r="E142" t="s">
        <v>636</v>
      </c>
      <c r="F142" s="5" t="s">
        <v>637</v>
      </c>
      <c r="G142" t="s">
        <v>70</v>
      </c>
      <c r="H142" s="1" t="s">
        <v>1165</v>
      </c>
      <c r="I142" s="1" t="s">
        <v>1166</v>
      </c>
      <c r="J142" s="4">
        <v>70</v>
      </c>
      <c r="K142" t="s">
        <v>50</v>
      </c>
      <c r="L142" t="s">
        <v>71</v>
      </c>
      <c r="M142" s="4">
        <v>5000</v>
      </c>
      <c r="N142" t="s">
        <v>52</v>
      </c>
      <c r="O142" t="s">
        <v>27</v>
      </c>
    </row>
    <row r="143" spans="1:15" x14ac:dyDescent="0.25">
      <c r="A143" t="s">
        <v>14</v>
      </c>
      <c r="B143" t="s">
        <v>638</v>
      </c>
      <c r="C143" t="s">
        <v>185</v>
      </c>
      <c r="D143" t="s">
        <v>639</v>
      </c>
      <c r="E143" t="s">
        <v>640</v>
      </c>
      <c r="F143" s="4">
        <v>45690</v>
      </c>
      <c r="G143" t="s">
        <v>641</v>
      </c>
      <c r="H143" s="1" t="s">
        <v>1167</v>
      </c>
      <c r="I143" s="1" t="s">
        <v>1168</v>
      </c>
      <c r="J143" s="4">
        <v>73</v>
      </c>
      <c r="K143" t="s">
        <v>50</v>
      </c>
      <c r="L143" t="s">
        <v>103</v>
      </c>
      <c r="M143" s="4">
        <v>3000</v>
      </c>
      <c r="N143" t="s">
        <v>52</v>
      </c>
      <c r="O143" t="s">
        <v>27</v>
      </c>
    </row>
    <row r="144" spans="1:15" x14ac:dyDescent="0.25">
      <c r="A144" t="s">
        <v>14</v>
      </c>
      <c r="B144" t="s">
        <v>642</v>
      </c>
      <c r="C144" t="s">
        <v>296</v>
      </c>
      <c r="D144" t="s">
        <v>643</v>
      </c>
      <c r="E144" t="s">
        <v>644</v>
      </c>
      <c r="F144" s="4">
        <v>97330</v>
      </c>
      <c r="G144" t="s">
        <v>454</v>
      </c>
      <c r="H144" s="1" t="s">
        <v>1169</v>
      </c>
      <c r="I144" s="1" t="s">
        <v>1170</v>
      </c>
      <c r="J144" s="4">
        <v>68</v>
      </c>
      <c r="K144" t="s">
        <v>156</v>
      </c>
      <c r="L144" t="s">
        <v>51</v>
      </c>
      <c r="M144" s="4">
        <v>0</v>
      </c>
      <c r="N144" t="s">
        <v>468</v>
      </c>
      <c r="O144" t="s">
        <v>27</v>
      </c>
    </row>
    <row r="145" spans="1:15" x14ac:dyDescent="0.25">
      <c r="A145" t="s">
        <v>14</v>
      </c>
      <c r="B145" t="s">
        <v>645</v>
      </c>
      <c r="C145" t="s">
        <v>109</v>
      </c>
      <c r="D145" t="s">
        <v>646</v>
      </c>
      <c r="E145" t="s">
        <v>647</v>
      </c>
      <c r="F145" s="5" t="s">
        <v>648</v>
      </c>
      <c r="G145" t="s">
        <v>83</v>
      </c>
      <c r="H145" s="1" t="s">
        <v>1171</v>
      </c>
      <c r="I145" s="1" t="s">
        <v>995</v>
      </c>
      <c r="J145" s="4">
        <v>87</v>
      </c>
      <c r="K145" t="s">
        <v>50</v>
      </c>
      <c r="L145" t="s">
        <v>59</v>
      </c>
      <c r="M145" s="4">
        <v>5000</v>
      </c>
      <c r="N145" t="s">
        <v>52</v>
      </c>
      <c r="O145" t="s">
        <v>27</v>
      </c>
    </row>
    <row r="146" spans="1:15" x14ac:dyDescent="0.25">
      <c r="A146" t="s">
        <v>14</v>
      </c>
      <c r="B146" t="s">
        <v>649</v>
      </c>
      <c r="C146" t="s">
        <v>650</v>
      </c>
      <c r="D146" t="s">
        <v>651</v>
      </c>
      <c r="E146" t="s">
        <v>652</v>
      </c>
      <c r="F146" s="4">
        <v>21561</v>
      </c>
      <c r="G146" t="s">
        <v>64</v>
      </c>
      <c r="H146" s="1" t="s">
        <v>1172</v>
      </c>
      <c r="I146" s="1" t="s">
        <v>1173</v>
      </c>
      <c r="J146" s="4">
        <v>10</v>
      </c>
      <c r="K146" t="s">
        <v>50</v>
      </c>
      <c r="L146" t="s">
        <v>59</v>
      </c>
      <c r="M146" s="4">
        <v>100</v>
      </c>
      <c r="N146" t="s">
        <v>52</v>
      </c>
      <c r="O146" t="s">
        <v>27</v>
      </c>
    </row>
    <row r="147" spans="1:15" x14ac:dyDescent="0.25">
      <c r="A147" t="s">
        <v>14</v>
      </c>
      <c r="B147" t="s">
        <v>653</v>
      </c>
      <c r="C147" t="s">
        <v>213</v>
      </c>
      <c r="D147" t="s">
        <v>654</v>
      </c>
      <c r="E147" t="s">
        <v>655</v>
      </c>
      <c r="F147" s="5" t="s">
        <v>656</v>
      </c>
      <c r="G147" t="s">
        <v>83</v>
      </c>
      <c r="H147" s="1" t="s">
        <v>1174</v>
      </c>
      <c r="I147" s="1" t="s">
        <v>1175</v>
      </c>
      <c r="J147" s="4">
        <v>70</v>
      </c>
      <c r="K147" t="s">
        <v>99</v>
      </c>
      <c r="L147" t="s">
        <v>59</v>
      </c>
      <c r="M147" s="4">
        <v>500</v>
      </c>
      <c r="N147" t="s">
        <v>113</v>
      </c>
      <c r="O147" t="s">
        <v>27</v>
      </c>
    </row>
    <row r="148" spans="1:15" x14ac:dyDescent="0.25">
      <c r="A148" t="s">
        <v>14</v>
      </c>
      <c r="B148" t="s">
        <v>657</v>
      </c>
      <c r="C148" t="s">
        <v>296</v>
      </c>
      <c r="D148" t="s">
        <v>658</v>
      </c>
      <c r="E148" t="s">
        <v>659</v>
      </c>
      <c r="F148" s="4">
        <v>37826</v>
      </c>
      <c r="G148" t="s">
        <v>660</v>
      </c>
      <c r="H148" s="1" t="s">
        <v>1176</v>
      </c>
      <c r="I148" s="1" t="s">
        <v>984</v>
      </c>
      <c r="J148" s="4">
        <v>76</v>
      </c>
      <c r="K148" t="s">
        <v>50</v>
      </c>
      <c r="L148" t="s">
        <v>103</v>
      </c>
      <c r="M148" s="4">
        <v>35</v>
      </c>
      <c r="N148" t="s">
        <v>52</v>
      </c>
      <c r="O148" t="s">
        <v>27</v>
      </c>
    </row>
    <row r="149" spans="1:15" x14ac:dyDescent="0.25">
      <c r="A149" t="s">
        <v>14</v>
      </c>
      <c r="B149" t="s">
        <v>661</v>
      </c>
      <c r="C149" t="s">
        <v>662</v>
      </c>
      <c r="D149" t="s">
        <v>663</v>
      </c>
      <c r="E149" t="s">
        <v>664</v>
      </c>
      <c r="F149" s="4">
        <v>45230</v>
      </c>
      <c r="G149" t="s">
        <v>641</v>
      </c>
      <c r="H149" s="1" t="s">
        <v>1177</v>
      </c>
      <c r="I149" s="1" t="s">
        <v>1178</v>
      </c>
      <c r="J149" s="4">
        <v>71</v>
      </c>
      <c r="K149" t="s">
        <v>50</v>
      </c>
      <c r="L149" t="s">
        <v>103</v>
      </c>
      <c r="M149" s="4" t="s">
        <v>665</v>
      </c>
      <c r="N149" t="s">
        <v>52</v>
      </c>
      <c r="O149" t="s">
        <v>27</v>
      </c>
    </row>
    <row r="150" spans="1:15" x14ac:dyDescent="0.25">
      <c r="A150" t="s">
        <v>14</v>
      </c>
      <c r="B150" t="s">
        <v>666</v>
      </c>
      <c r="C150" t="s">
        <v>667</v>
      </c>
      <c r="D150" t="s">
        <v>668</v>
      </c>
      <c r="E150" t="s">
        <v>669</v>
      </c>
      <c r="F150" s="4">
        <v>40391</v>
      </c>
      <c r="G150" t="s">
        <v>478</v>
      </c>
      <c r="H150" s="1" t="s">
        <v>1179</v>
      </c>
      <c r="I150" s="1" t="s">
        <v>1041</v>
      </c>
      <c r="J150" s="4">
        <v>74</v>
      </c>
      <c r="K150" t="s">
        <v>77</v>
      </c>
      <c r="L150" t="s">
        <v>51</v>
      </c>
      <c r="M150" s="4">
        <v>2000</v>
      </c>
      <c r="N150" t="s">
        <v>52</v>
      </c>
      <c r="O150" t="s">
        <v>27</v>
      </c>
    </row>
    <row r="151" spans="1:15" x14ac:dyDescent="0.25">
      <c r="A151" t="s">
        <v>14</v>
      </c>
      <c r="B151" t="s">
        <v>670</v>
      </c>
      <c r="C151" t="s">
        <v>235</v>
      </c>
      <c r="D151" t="s">
        <v>671</v>
      </c>
      <c r="E151" t="s">
        <v>672</v>
      </c>
      <c r="F151" s="5" t="s">
        <v>673</v>
      </c>
      <c r="G151" t="s">
        <v>70</v>
      </c>
      <c r="H151" s="1" t="s">
        <v>1180</v>
      </c>
      <c r="I151" s="1" t="s">
        <v>1181</v>
      </c>
      <c r="J151" s="4">
        <v>90</v>
      </c>
      <c r="K151" t="s">
        <v>50</v>
      </c>
      <c r="L151" t="s">
        <v>59</v>
      </c>
      <c r="M151" s="4">
        <v>5000</v>
      </c>
      <c r="N151" t="s">
        <v>113</v>
      </c>
      <c r="O151" t="s">
        <v>27</v>
      </c>
    </row>
    <row r="152" spans="1:15" x14ac:dyDescent="0.25">
      <c r="A152" t="s">
        <v>14</v>
      </c>
      <c r="B152" t="s">
        <v>674</v>
      </c>
      <c r="C152" t="s">
        <v>499</v>
      </c>
      <c r="D152" t="s">
        <v>604</v>
      </c>
      <c r="E152" t="s">
        <v>675</v>
      </c>
      <c r="F152" s="4">
        <v>49677</v>
      </c>
      <c r="G152" t="s">
        <v>521</v>
      </c>
      <c r="H152" s="1" t="s">
        <v>1182</v>
      </c>
      <c r="I152" s="1" t="s">
        <v>1078</v>
      </c>
      <c r="J152" s="4">
        <v>72</v>
      </c>
      <c r="K152" t="s">
        <v>77</v>
      </c>
      <c r="L152" t="s">
        <v>51</v>
      </c>
      <c r="M152" s="4">
        <v>160</v>
      </c>
      <c r="N152" t="s">
        <v>113</v>
      </c>
      <c r="O152" t="s">
        <v>27</v>
      </c>
    </row>
    <row r="153" spans="1:15" x14ac:dyDescent="0.25">
      <c r="A153" t="s">
        <v>14</v>
      </c>
      <c r="B153" t="s">
        <v>676</v>
      </c>
      <c r="C153" t="s">
        <v>677</v>
      </c>
      <c r="D153" t="s">
        <v>678</v>
      </c>
      <c r="E153" t="s">
        <v>679</v>
      </c>
      <c r="F153" s="5" t="s">
        <v>680</v>
      </c>
      <c r="G153" t="s">
        <v>176</v>
      </c>
      <c r="H153" s="1" t="s">
        <v>1183</v>
      </c>
      <c r="I153" s="1" t="s">
        <v>1044</v>
      </c>
      <c r="J153" s="4">
        <v>66</v>
      </c>
      <c r="K153" t="s">
        <v>50</v>
      </c>
      <c r="L153" t="s">
        <v>103</v>
      </c>
      <c r="M153" s="4">
        <v>10000</v>
      </c>
      <c r="N153" t="s">
        <v>52</v>
      </c>
      <c r="O153" t="s">
        <v>27</v>
      </c>
    </row>
    <row r="154" spans="1:15" x14ac:dyDescent="0.25">
      <c r="A154" t="s">
        <v>14</v>
      </c>
      <c r="B154" t="s">
        <v>681</v>
      </c>
      <c r="C154" t="s">
        <v>235</v>
      </c>
      <c r="D154" t="s">
        <v>682</v>
      </c>
      <c r="E154" t="s">
        <v>683</v>
      </c>
      <c r="F154" s="5" t="s">
        <v>684</v>
      </c>
      <c r="G154" t="s">
        <v>58</v>
      </c>
      <c r="H154" s="1" t="s">
        <v>1184</v>
      </c>
      <c r="I154" s="1" t="s">
        <v>1011</v>
      </c>
      <c r="J154" s="4">
        <v>68</v>
      </c>
      <c r="K154" t="s">
        <v>88</v>
      </c>
      <c r="L154" t="s">
        <v>51</v>
      </c>
      <c r="M154" s="4">
        <v>75</v>
      </c>
      <c r="N154" t="s">
        <v>52</v>
      </c>
      <c r="O154" t="s">
        <v>27</v>
      </c>
    </row>
    <row r="155" spans="1:15" x14ac:dyDescent="0.25">
      <c r="A155" t="s">
        <v>14</v>
      </c>
      <c r="B155" t="s">
        <v>685</v>
      </c>
      <c r="C155" t="s">
        <v>527</v>
      </c>
      <c r="D155" t="s">
        <v>686</v>
      </c>
      <c r="E155" t="s">
        <v>687</v>
      </c>
      <c r="F155" s="4">
        <v>13348</v>
      </c>
      <c r="G155" t="s">
        <v>76</v>
      </c>
      <c r="H155" s="1" t="s">
        <v>1185</v>
      </c>
      <c r="I155" s="1" t="s">
        <v>1186</v>
      </c>
      <c r="J155" s="4">
        <v>67</v>
      </c>
      <c r="K155" t="s">
        <v>88</v>
      </c>
      <c r="L155" t="s">
        <v>51</v>
      </c>
      <c r="M155" s="4">
        <v>31</v>
      </c>
      <c r="N155" t="s">
        <v>52</v>
      </c>
      <c r="O155" t="s">
        <v>27</v>
      </c>
    </row>
    <row r="156" spans="1:15" x14ac:dyDescent="0.25">
      <c r="A156" t="s">
        <v>14</v>
      </c>
      <c r="B156" t="s">
        <v>688</v>
      </c>
      <c r="C156" t="s">
        <v>689</v>
      </c>
      <c r="D156" t="s">
        <v>690</v>
      </c>
      <c r="E156" t="s">
        <v>691</v>
      </c>
      <c r="F156" s="4">
        <v>13215</v>
      </c>
      <c r="G156" t="s">
        <v>76</v>
      </c>
      <c r="H156" s="1" t="s">
        <v>1033</v>
      </c>
      <c r="I156" s="1" t="s">
        <v>1178</v>
      </c>
      <c r="J156" s="4">
        <v>63</v>
      </c>
      <c r="K156" t="s">
        <v>50</v>
      </c>
      <c r="L156" t="s">
        <v>103</v>
      </c>
      <c r="M156" s="4">
        <v>250</v>
      </c>
      <c r="N156" t="s">
        <v>52</v>
      </c>
      <c r="O156" t="s">
        <v>27</v>
      </c>
    </row>
    <row r="157" spans="1:15" x14ac:dyDescent="0.25">
      <c r="A157" t="s">
        <v>14</v>
      </c>
      <c r="B157" t="s">
        <v>692</v>
      </c>
      <c r="C157" t="s">
        <v>693</v>
      </c>
      <c r="D157" t="s">
        <v>694</v>
      </c>
      <c r="E157" t="s">
        <v>695</v>
      </c>
      <c r="F157" s="4">
        <v>13152</v>
      </c>
      <c r="G157" t="s">
        <v>76</v>
      </c>
      <c r="H157" s="1" t="s">
        <v>1187</v>
      </c>
      <c r="I157" s="1" t="s">
        <v>1020</v>
      </c>
      <c r="J157" s="4">
        <v>66</v>
      </c>
      <c r="K157" t="s">
        <v>77</v>
      </c>
      <c r="L157" t="s">
        <v>51</v>
      </c>
      <c r="M157" s="4" t="s">
        <v>696</v>
      </c>
      <c r="N157" t="s">
        <v>52</v>
      </c>
      <c r="O157" t="s">
        <v>27</v>
      </c>
    </row>
    <row r="158" spans="1:15" x14ac:dyDescent="0.25">
      <c r="A158" t="s">
        <v>14</v>
      </c>
      <c r="B158" t="s">
        <v>697</v>
      </c>
      <c r="C158" t="s">
        <v>105</v>
      </c>
      <c r="D158" t="s">
        <v>248</v>
      </c>
      <c r="E158" t="s">
        <v>698</v>
      </c>
      <c r="F158" s="5" t="s">
        <v>699</v>
      </c>
      <c r="G158" t="s">
        <v>70</v>
      </c>
      <c r="H158" s="1" t="s">
        <v>1188</v>
      </c>
      <c r="I158" s="1" t="s">
        <v>1189</v>
      </c>
      <c r="J158" s="4">
        <v>66</v>
      </c>
      <c r="K158" t="s">
        <v>50</v>
      </c>
      <c r="L158" t="s">
        <v>71</v>
      </c>
      <c r="M158" s="4">
        <v>250</v>
      </c>
      <c r="N158" t="s">
        <v>52</v>
      </c>
      <c r="O158" t="s">
        <v>27</v>
      </c>
    </row>
    <row r="159" spans="1:15" x14ac:dyDescent="0.25">
      <c r="A159" t="s">
        <v>14</v>
      </c>
      <c r="B159" t="s">
        <v>700</v>
      </c>
      <c r="C159" t="s">
        <v>499</v>
      </c>
      <c r="D159" t="s">
        <v>701</v>
      </c>
      <c r="E159" t="s">
        <v>702</v>
      </c>
      <c r="F159" s="4">
        <v>14850</v>
      </c>
      <c r="G159" t="s">
        <v>76</v>
      </c>
      <c r="H159" s="1" t="s">
        <v>1190</v>
      </c>
      <c r="I159" s="1" t="s">
        <v>1191</v>
      </c>
      <c r="J159" s="4">
        <v>62</v>
      </c>
      <c r="K159" t="s">
        <v>77</v>
      </c>
      <c r="L159" t="s">
        <v>51</v>
      </c>
      <c r="M159" s="4">
        <v>30</v>
      </c>
      <c r="N159" t="s">
        <v>113</v>
      </c>
      <c r="O159" t="s">
        <v>27</v>
      </c>
    </row>
    <row r="160" spans="1:15" x14ac:dyDescent="0.25">
      <c r="A160" t="s">
        <v>14</v>
      </c>
      <c r="B160" t="s">
        <v>703</v>
      </c>
      <c r="C160" t="s">
        <v>704</v>
      </c>
      <c r="D160" t="s">
        <v>704</v>
      </c>
      <c r="E160" t="s">
        <v>705</v>
      </c>
      <c r="F160" s="5" t="s">
        <v>706</v>
      </c>
      <c r="G160" t="s">
        <v>170</v>
      </c>
      <c r="H160" s="1" t="s">
        <v>1192</v>
      </c>
      <c r="I160" s="1" t="s">
        <v>1020</v>
      </c>
      <c r="J160" s="4">
        <v>63</v>
      </c>
      <c r="K160" t="s">
        <v>93</v>
      </c>
      <c r="L160" t="s">
        <v>136</v>
      </c>
      <c r="M160" s="4">
        <v>1000</v>
      </c>
      <c r="N160" t="s">
        <v>52</v>
      </c>
      <c r="O160" t="s">
        <v>27</v>
      </c>
    </row>
    <row r="161" spans="1:15" x14ac:dyDescent="0.25">
      <c r="A161" t="s">
        <v>14</v>
      </c>
      <c r="B161" t="s">
        <v>708</v>
      </c>
      <c r="C161" t="s">
        <v>709</v>
      </c>
      <c r="D161" t="s">
        <v>710</v>
      </c>
      <c r="E161" t="s">
        <v>711</v>
      </c>
      <c r="F161" s="4">
        <v>12567</v>
      </c>
      <c r="G161" t="s">
        <v>76</v>
      </c>
      <c r="H161" s="1" t="s">
        <v>1193</v>
      </c>
      <c r="I161" s="1" t="s">
        <v>1020</v>
      </c>
      <c r="J161" s="4">
        <v>62</v>
      </c>
      <c r="K161" t="s">
        <v>50</v>
      </c>
      <c r="L161" t="s">
        <v>103</v>
      </c>
      <c r="M161" s="4">
        <v>1</v>
      </c>
      <c r="N161" t="s">
        <v>113</v>
      </c>
      <c r="O161" t="s">
        <v>27</v>
      </c>
    </row>
    <row r="162" spans="1:15" x14ac:dyDescent="0.25">
      <c r="A162" t="s">
        <v>14</v>
      </c>
      <c r="B162" t="s">
        <v>712</v>
      </c>
      <c r="C162" t="s">
        <v>235</v>
      </c>
      <c r="D162" t="s">
        <v>713</v>
      </c>
      <c r="E162" t="s">
        <v>714</v>
      </c>
      <c r="F162" s="4">
        <v>17814</v>
      </c>
      <c r="G162" t="s">
        <v>165</v>
      </c>
      <c r="H162" s="1" t="s">
        <v>1194</v>
      </c>
      <c r="I162" s="1" t="s">
        <v>1195</v>
      </c>
      <c r="J162" s="4">
        <v>48</v>
      </c>
      <c r="K162" t="s">
        <v>93</v>
      </c>
      <c r="L162" t="s">
        <v>51</v>
      </c>
      <c r="M162" s="4">
        <v>500</v>
      </c>
      <c r="N162" t="s">
        <v>52</v>
      </c>
      <c r="O162" t="s">
        <v>27</v>
      </c>
    </row>
    <row r="163" spans="1:15" x14ac:dyDescent="0.25">
      <c r="A163" t="s">
        <v>14</v>
      </c>
      <c r="B163" t="s">
        <v>715</v>
      </c>
      <c r="C163" t="s">
        <v>716</v>
      </c>
      <c r="D163" t="s">
        <v>717</v>
      </c>
      <c r="E163" t="s">
        <v>718</v>
      </c>
      <c r="F163" s="5" t="s">
        <v>534</v>
      </c>
      <c r="G163" t="s">
        <v>83</v>
      </c>
      <c r="H163" s="1" t="s">
        <v>1196</v>
      </c>
      <c r="I163" s="1" t="s">
        <v>1197</v>
      </c>
      <c r="J163" s="4">
        <v>36</v>
      </c>
      <c r="K163" t="s">
        <v>77</v>
      </c>
      <c r="L163" t="s">
        <v>51</v>
      </c>
      <c r="M163" s="4">
        <v>0</v>
      </c>
      <c r="N163" t="s">
        <v>113</v>
      </c>
      <c r="O163" t="s">
        <v>27</v>
      </c>
    </row>
    <row r="164" spans="1:15" x14ac:dyDescent="0.25">
      <c r="A164" t="s">
        <v>14</v>
      </c>
      <c r="B164" t="s">
        <v>719</v>
      </c>
      <c r="C164" t="s">
        <v>720</v>
      </c>
      <c r="D164" t="s">
        <v>721</v>
      </c>
      <c r="E164" t="s">
        <v>722</v>
      </c>
      <c r="F164" s="4">
        <v>12060</v>
      </c>
      <c r="G164" t="s">
        <v>76</v>
      </c>
      <c r="H164" s="1" t="s">
        <v>1198</v>
      </c>
      <c r="I164" s="1" t="s">
        <v>1191</v>
      </c>
      <c r="J164" s="4">
        <v>53</v>
      </c>
      <c r="K164" t="s">
        <v>136</v>
      </c>
      <c r="L164" t="s">
        <v>216</v>
      </c>
      <c r="M164" s="4">
        <v>15</v>
      </c>
      <c r="N164" t="s">
        <v>52</v>
      </c>
      <c r="O164" t="s">
        <v>27</v>
      </c>
    </row>
    <row r="165" spans="1:15" x14ac:dyDescent="0.25">
      <c r="A165" t="s">
        <v>14</v>
      </c>
      <c r="B165" t="s">
        <v>723</v>
      </c>
      <c r="C165" t="s">
        <v>724</v>
      </c>
      <c r="D165" t="s">
        <v>725</v>
      </c>
      <c r="E165" t="s">
        <v>726</v>
      </c>
      <c r="F165" s="4">
        <v>12540</v>
      </c>
      <c r="G165" t="s">
        <v>76</v>
      </c>
      <c r="H165" s="1" t="s">
        <v>1199</v>
      </c>
      <c r="I165" s="1" t="s">
        <v>1041</v>
      </c>
      <c r="J165" s="4">
        <v>33</v>
      </c>
      <c r="K165" t="s">
        <v>177</v>
      </c>
      <c r="L165" t="s">
        <v>103</v>
      </c>
      <c r="M165" s="4">
        <v>1</v>
      </c>
      <c r="N165" t="s">
        <v>113</v>
      </c>
      <c r="O165" t="s">
        <v>27</v>
      </c>
    </row>
    <row r="166" spans="1:15" x14ac:dyDescent="0.25">
      <c r="A166" t="s">
        <v>14</v>
      </c>
      <c r="B166" t="s">
        <v>727</v>
      </c>
      <c r="C166" t="s">
        <v>728</v>
      </c>
      <c r="D166" t="s">
        <v>729</v>
      </c>
      <c r="E166" t="s">
        <v>730</v>
      </c>
      <c r="F166" s="4">
        <v>53705</v>
      </c>
      <c r="G166" t="s">
        <v>136</v>
      </c>
      <c r="H166" s="1" t="s">
        <v>1200</v>
      </c>
      <c r="I166" s="1" t="s">
        <v>1201</v>
      </c>
      <c r="J166" s="4">
        <v>1</v>
      </c>
      <c r="K166" t="s">
        <v>77</v>
      </c>
      <c r="L166" t="s">
        <v>51</v>
      </c>
      <c r="M166" s="4">
        <v>60</v>
      </c>
      <c r="N166" t="s">
        <v>113</v>
      </c>
      <c r="O166" t="s">
        <v>732</v>
      </c>
    </row>
    <row r="167" spans="1:15" x14ac:dyDescent="0.25">
      <c r="A167" t="s">
        <v>14</v>
      </c>
      <c r="B167" t="s">
        <v>733</v>
      </c>
      <c r="C167" t="s">
        <v>417</v>
      </c>
      <c r="D167" t="s">
        <v>734</v>
      </c>
      <c r="E167" t="s">
        <v>735</v>
      </c>
      <c r="F167" s="5" t="s">
        <v>736</v>
      </c>
      <c r="G167" t="s">
        <v>58</v>
      </c>
      <c r="H167" s="1" t="s">
        <v>1202</v>
      </c>
      <c r="I167" s="1" t="s">
        <v>961</v>
      </c>
      <c r="J167" s="4">
        <v>88</v>
      </c>
      <c r="K167" t="s">
        <v>88</v>
      </c>
      <c r="L167" t="s">
        <v>51</v>
      </c>
      <c r="M167" s="4">
        <v>30</v>
      </c>
      <c r="N167" t="s">
        <v>113</v>
      </c>
      <c r="O167" t="s">
        <v>27</v>
      </c>
    </row>
    <row r="168" spans="1:15" x14ac:dyDescent="0.25">
      <c r="A168" t="s">
        <v>14</v>
      </c>
      <c r="B168" t="s">
        <v>737</v>
      </c>
      <c r="C168" t="s">
        <v>738</v>
      </c>
      <c r="D168" t="s">
        <v>739</v>
      </c>
      <c r="E168" t="s">
        <v>740</v>
      </c>
      <c r="F168" s="5" t="s">
        <v>741</v>
      </c>
      <c r="G168" t="s">
        <v>83</v>
      </c>
      <c r="H168" s="1" t="s">
        <v>1203</v>
      </c>
      <c r="I168" s="1" t="s">
        <v>961</v>
      </c>
      <c r="J168" s="4">
        <v>76</v>
      </c>
      <c r="K168" t="s">
        <v>88</v>
      </c>
      <c r="L168" t="s">
        <v>51</v>
      </c>
      <c r="M168" s="4">
        <v>30</v>
      </c>
      <c r="N168" t="s">
        <v>52</v>
      </c>
      <c r="O168" t="s">
        <v>27</v>
      </c>
    </row>
    <row r="169" spans="1:15" x14ac:dyDescent="0.25">
      <c r="A169" t="s">
        <v>14</v>
      </c>
      <c r="B169" t="s">
        <v>742</v>
      </c>
      <c r="C169" t="s">
        <v>743</v>
      </c>
      <c r="D169" t="s">
        <v>744</v>
      </c>
      <c r="E169" t="s">
        <v>745</v>
      </c>
      <c r="F169" s="4">
        <v>49028</v>
      </c>
      <c r="G169" t="s">
        <v>521</v>
      </c>
      <c r="H169" s="1" t="s">
        <v>1204</v>
      </c>
      <c r="I169" s="1" t="s">
        <v>1205</v>
      </c>
      <c r="J169" s="4">
        <v>66</v>
      </c>
      <c r="K169" t="s">
        <v>50</v>
      </c>
      <c r="L169" t="s">
        <v>103</v>
      </c>
      <c r="M169" s="4">
        <v>1000</v>
      </c>
      <c r="N169" t="s">
        <v>113</v>
      </c>
      <c r="O169" t="s">
        <v>27</v>
      </c>
    </row>
    <row r="170" spans="1:15" x14ac:dyDescent="0.25">
      <c r="A170" t="s">
        <v>14</v>
      </c>
      <c r="B170" t="s">
        <v>746</v>
      </c>
      <c r="C170" t="s">
        <v>125</v>
      </c>
      <c r="D170" t="s">
        <v>747</v>
      </c>
      <c r="E170" t="s">
        <v>748</v>
      </c>
      <c r="F170" s="4">
        <v>49735</v>
      </c>
      <c r="G170" t="s">
        <v>521</v>
      </c>
      <c r="H170" s="1" t="s">
        <v>1206</v>
      </c>
      <c r="I170" s="1" t="s">
        <v>961</v>
      </c>
      <c r="J170" s="4">
        <v>65</v>
      </c>
      <c r="K170" t="s">
        <v>99</v>
      </c>
      <c r="L170" t="s">
        <v>103</v>
      </c>
      <c r="M170" s="4">
        <v>200</v>
      </c>
      <c r="N170" t="s">
        <v>52</v>
      </c>
      <c r="O170" t="s">
        <v>27</v>
      </c>
    </row>
    <row r="171" spans="1:15" x14ac:dyDescent="0.25">
      <c r="A171" t="s">
        <v>14</v>
      </c>
      <c r="B171" t="s">
        <v>749</v>
      </c>
      <c r="C171" t="s">
        <v>750</v>
      </c>
      <c r="D171" t="s">
        <v>751</v>
      </c>
      <c r="E171" t="s">
        <v>752</v>
      </c>
      <c r="F171" s="5" t="s">
        <v>753</v>
      </c>
      <c r="G171" t="s">
        <v>70</v>
      </c>
      <c r="H171" s="1" t="s">
        <v>1207</v>
      </c>
      <c r="I171" s="1" t="s">
        <v>961</v>
      </c>
      <c r="J171" s="4">
        <v>61</v>
      </c>
      <c r="K171" t="s">
        <v>50</v>
      </c>
      <c r="L171" t="s">
        <v>71</v>
      </c>
      <c r="M171" s="4">
        <v>200</v>
      </c>
      <c r="N171" t="s">
        <v>52</v>
      </c>
      <c r="O171" t="s">
        <v>27</v>
      </c>
    </row>
    <row r="172" spans="1:15" x14ac:dyDescent="0.25">
      <c r="A172" t="s">
        <v>26</v>
      </c>
      <c r="B172" t="s">
        <v>754</v>
      </c>
      <c r="C172" t="s">
        <v>754</v>
      </c>
      <c r="D172" t="s">
        <v>755</v>
      </c>
      <c r="E172" t="s">
        <v>756</v>
      </c>
      <c r="F172" s="4">
        <v>18643</v>
      </c>
      <c r="G172" t="s">
        <v>165</v>
      </c>
      <c r="H172" t="s">
        <v>757</v>
      </c>
      <c r="I172" t="s">
        <v>757</v>
      </c>
      <c r="J172" s="4" t="s">
        <v>757</v>
      </c>
      <c r="K172" t="s">
        <v>99</v>
      </c>
      <c r="L172" t="s">
        <v>216</v>
      </c>
      <c r="M172" s="4">
        <v>0</v>
      </c>
      <c r="N172" t="s">
        <v>52</v>
      </c>
      <c r="O172" t="s">
        <v>27</v>
      </c>
    </row>
    <row r="173" spans="1:15" x14ac:dyDescent="0.25">
      <c r="A173" t="s">
        <v>26</v>
      </c>
      <c r="B173" t="s">
        <v>758</v>
      </c>
      <c r="C173" t="s">
        <v>758</v>
      </c>
      <c r="D173" t="s">
        <v>759</v>
      </c>
      <c r="E173" t="s">
        <v>760</v>
      </c>
      <c r="F173" s="4">
        <v>49855</v>
      </c>
      <c r="G173" t="s">
        <v>521</v>
      </c>
      <c r="H173" t="s">
        <v>757</v>
      </c>
      <c r="I173" t="s">
        <v>757</v>
      </c>
      <c r="J173" s="4" t="s">
        <v>757</v>
      </c>
      <c r="K173" t="s">
        <v>156</v>
      </c>
      <c r="L173" t="s">
        <v>51</v>
      </c>
      <c r="M173" s="4">
        <v>1000</v>
      </c>
      <c r="N173" t="s">
        <v>113</v>
      </c>
      <c r="O173" t="s">
        <v>27</v>
      </c>
    </row>
    <row r="174" spans="1:15" x14ac:dyDescent="0.25">
      <c r="A174" t="s">
        <v>26</v>
      </c>
      <c r="B174" t="s">
        <v>761</v>
      </c>
      <c r="C174" t="s">
        <v>761</v>
      </c>
      <c r="D174" t="s">
        <v>762</v>
      </c>
      <c r="E174" t="s">
        <v>763</v>
      </c>
      <c r="F174" s="5" t="s">
        <v>589</v>
      </c>
      <c r="G174" t="s">
        <v>83</v>
      </c>
      <c r="H174" t="s">
        <v>757</v>
      </c>
      <c r="I174" t="s">
        <v>757</v>
      </c>
      <c r="J174" s="4" t="s">
        <v>757</v>
      </c>
      <c r="K174" t="s">
        <v>77</v>
      </c>
      <c r="L174" t="s">
        <v>51</v>
      </c>
      <c r="M174" s="4">
        <v>0</v>
      </c>
      <c r="N174" t="s">
        <v>113</v>
      </c>
      <c r="O174" t="s">
        <v>27</v>
      </c>
    </row>
    <row r="175" spans="1:15" x14ac:dyDescent="0.25">
      <c r="A175" t="s">
        <v>26</v>
      </c>
      <c r="B175" t="s">
        <v>764</v>
      </c>
      <c r="C175" t="s">
        <v>764</v>
      </c>
      <c r="D175" t="s">
        <v>765</v>
      </c>
      <c r="E175" t="s">
        <v>766</v>
      </c>
      <c r="F175" s="4">
        <v>13224</v>
      </c>
      <c r="G175" t="s">
        <v>76</v>
      </c>
      <c r="H175" t="s">
        <v>757</v>
      </c>
      <c r="I175" t="s">
        <v>757</v>
      </c>
      <c r="J175" s="4" t="s">
        <v>757</v>
      </c>
      <c r="K175" t="s">
        <v>99</v>
      </c>
      <c r="L175" t="s">
        <v>103</v>
      </c>
      <c r="M175" s="4">
        <v>0</v>
      </c>
      <c r="N175" t="s">
        <v>52</v>
      </c>
      <c r="O175" t="s">
        <v>27</v>
      </c>
    </row>
    <row r="176" spans="1:15" x14ac:dyDescent="0.25">
      <c r="A176" t="s">
        <v>26</v>
      </c>
      <c r="B176" t="s">
        <v>767</v>
      </c>
      <c r="C176" t="s">
        <v>767</v>
      </c>
      <c r="D176" t="s">
        <v>768</v>
      </c>
      <c r="E176" t="s">
        <v>769</v>
      </c>
      <c r="F176" s="4">
        <v>14072</v>
      </c>
      <c r="G176" t="s">
        <v>76</v>
      </c>
      <c r="H176" t="s">
        <v>757</v>
      </c>
      <c r="I176" t="s">
        <v>757</v>
      </c>
      <c r="J176" s="4" t="s">
        <v>757</v>
      </c>
      <c r="K176" t="s">
        <v>136</v>
      </c>
      <c r="L176" t="s">
        <v>51</v>
      </c>
      <c r="M176" s="4" t="s">
        <v>26</v>
      </c>
      <c r="N176" t="s">
        <v>52</v>
      </c>
      <c r="O176" t="s">
        <v>27</v>
      </c>
    </row>
    <row r="177" spans="1:15" x14ac:dyDescent="0.25">
      <c r="A177" t="s">
        <v>26</v>
      </c>
      <c r="B177" t="s">
        <v>61</v>
      </c>
      <c r="C177" t="s">
        <v>61</v>
      </c>
      <c r="D177" t="s">
        <v>770</v>
      </c>
      <c r="E177" t="s">
        <v>771</v>
      </c>
      <c r="F177" s="5" t="s">
        <v>772</v>
      </c>
      <c r="G177" t="s">
        <v>70</v>
      </c>
      <c r="H177" t="s">
        <v>757</v>
      </c>
      <c r="I177" t="s">
        <v>757</v>
      </c>
      <c r="J177" s="4" t="s">
        <v>757</v>
      </c>
      <c r="K177" t="s">
        <v>50</v>
      </c>
      <c r="L177" t="s">
        <v>71</v>
      </c>
      <c r="M177" s="4">
        <v>0</v>
      </c>
      <c r="N177" t="s">
        <v>52</v>
      </c>
      <c r="O177" t="s">
        <v>27</v>
      </c>
    </row>
    <row r="178" spans="1:15" x14ac:dyDescent="0.25">
      <c r="A178" t="s">
        <v>26</v>
      </c>
      <c r="B178" t="s">
        <v>773</v>
      </c>
      <c r="C178" t="s">
        <v>773</v>
      </c>
      <c r="D178" t="s">
        <v>773</v>
      </c>
      <c r="E178" t="s">
        <v>774</v>
      </c>
      <c r="F178" s="4">
        <v>12210</v>
      </c>
      <c r="G178" t="s">
        <v>76</v>
      </c>
      <c r="H178" t="s">
        <v>757</v>
      </c>
      <c r="I178" t="s">
        <v>757</v>
      </c>
      <c r="J178" s="4" t="s">
        <v>757</v>
      </c>
      <c r="K178" t="s">
        <v>77</v>
      </c>
      <c r="L178" t="s">
        <v>51</v>
      </c>
      <c r="M178" s="4">
        <v>0</v>
      </c>
      <c r="N178" t="s">
        <v>113</v>
      </c>
      <c r="O178" t="s">
        <v>27</v>
      </c>
    </row>
    <row r="179" spans="1:15" x14ac:dyDescent="0.25">
      <c r="A179" t="s">
        <v>26</v>
      </c>
      <c r="B179" t="s">
        <v>775</v>
      </c>
      <c r="C179" t="s">
        <v>775</v>
      </c>
      <c r="D179" t="s">
        <v>776</v>
      </c>
      <c r="E179" t="s">
        <v>777</v>
      </c>
      <c r="F179" s="5" t="s">
        <v>778</v>
      </c>
      <c r="G179" t="s">
        <v>170</v>
      </c>
      <c r="H179" t="s">
        <v>757</v>
      </c>
      <c r="I179" t="s">
        <v>757</v>
      </c>
      <c r="J179" s="4" t="s">
        <v>757</v>
      </c>
      <c r="K179" t="s">
        <v>50</v>
      </c>
      <c r="L179" t="s">
        <v>71</v>
      </c>
      <c r="M179" s="4">
        <v>5000</v>
      </c>
      <c r="N179" t="s">
        <v>52</v>
      </c>
      <c r="O179" t="s">
        <v>27</v>
      </c>
    </row>
    <row r="180" spans="1:15" x14ac:dyDescent="0.25">
      <c r="A180" t="s">
        <v>26</v>
      </c>
      <c r="B180" t="s">
        <v>779</v>
      </c>
      <c r="C180" t="s">
        <v>779</v>
      </c>
      <c r="D180" t="s">
        <v>780</v>
      </c>
      <c r="E180" t="s">
        <v>781</v>
      </c>
      <c r="F180" s="4">
        <v>12962</v>
      </c>
      <c r="G180" t="s">
        <v>76</v>
      </c>
      <c r="H180" t="s">
        <v>757</v>
      </c>
      <c r="I180" t="s">
        <v>757</v>
      </c>
      <c r="J180" s="4" t="s">
        <v>757</v>
      </c>
      <c r="K180" t="s">
        <v>50</v>
      </c>
      <c r="L180" t="s">
        <v>51</v>
      </c>
      <c r="M180" s="4">
        <v>100</v>
      </c>
      <c r="N180" t="s">
        <v>52</v>
      </c>
      <c r="O180" t="s">
        <v>27</v>
      </c>
    </row>
    <row r="181" spans="1:15" x14ac:dyDescent="0.25">
      <c r="A181" t="s">
        <v>26</v>
      </c>
      <c r="B181" t="s">
        <v>782</v>
      </c>
      <c r="C181" t="s">
        <v>782</v>
      </c>
      <c r="D181" t="s">
        <v>783</v>
      </c>
      <c r="E181" t="s">
        <v>784</v>
      </c>
      <c r="F181" s="4">
        <v>12865</v>
      </c>
      <c r="G181" t="s">
        <v>76</v>
      </c>
      <c r="H181" t="s">
        <v>757</v>
      </c>
      <c r="I181" t="s">
        <v>757</v>
      </c>
      <c r="J181" s="4" t="s">
        <v>757</v>
      </c>
      <c r="K181" t="s">
        <v>177</v>
      </c>
      <c r="L181" t="s">
        <v>216</v>
      </c>
      <c r="M181" s="4">
        <v>50</v>
      </c>
      <c r="N181" t="s">
        <v>52</v>
      </c>
      <c r="O181" t="s">
        <v>27</v>
      </c>
    </row>
    <row r="182" spans="1:15" x14ac:dyDescent="0.25">
      <c r="A182" t="s">
        <v>26</v>
      </c>
      <c r="B182" t="s">
        <v>527</v>
      </c>
      <c r="C182" t="s">
        <v>527</v>
      </c>
      <c r="D182" t="s">
        <v>785</v>
      </c>
      <c r="E182" t="s">
        <v>786</v>
      </c>
      <c r="F182" s="5" t="s">
        <v>788</v>
      </c>
      <c r="G182" t="s">
        <v>136</v>
      </c>
      <c r="H182" t="s">
        <v>757</v>
      </c>
      <c r="I182" t="s">
        <v>757</v>
      </c>
      <c r="J182" s="4" t="s">
        <v>757</v>
      </c>
      <c r="K182" t="s">
        <v>136</v>
      </c>
      <c r="L182" t="s">
        <v>136</v>
      </c>
      <c r="M182" s="4">
        <v>0</v>
      </c>
      <c r="N182" t="s">
        <v>52</v>
      </c>
      <c r="O182" t="s">
        <v>789</v>
      </c>
    </row>
    <row r="183" spans="1:15" x14ac:dyDescent="0.25">
      <c r="A183" t="s">
        <v>26</v>
      </c>
      <c r="B183" t="s">
        <v>790</v>
      </c>
      <c r="C183" t="s">
        <v>790</v>
      </c>
      <c r="D183" t="s">
        <v>791</v>
      </c>
      <c r="E183" t="s">
        <v>792</v>
      </c>
      <c r="F183" s="4">
        <v>12303</v>
      </c>
      <c r="G183" t="s">
        <v>76</v>
      </c>
      <c r="H183" t="s">
        <v>757</v>
      </c>
      <c r="I183" t="s">
        <v>757</v>
      </c>
      <c r="J183" s="4" t="s">
        <v>757</v>
      </c>
      <c r="K183" t="s">
        <v>88</v>
      </c>
      <c r="L183" t="s">
        <v>216</v>
      </c>
      <c r="M183" s="4">
        <v>50</v>
      </c>
      <c r="N183" t="s">
        <v>52</v>
      </c>
      <c r="O183" t="s">
        <v>27</v>
      </c>
    </row>
    <row r="184" spans="1:15" x14ac:dyDescent="0.25">
      <c r="A184" t="s">
        <v>26</v>
      </c>
      <c r="B184" t="s">
        <v>793</v>
      </c>
      <c r="C184" t="s">
        <v>793</v>
      </c>
      <c r="D184" t="s">
        <v>794</v>
      </c>
      <c r="E184" t="s">
        <v>795</v>
      </c>
      <c r="F184" s="4" t="s">
        <v>796</v>
      </c>
      <c r="G184" t="s">
        <v>149</v>
      </c>
      <c r="H184" t="s">
        <v>757</v>
      </c>
      <c r="I184" t="s">
        <v>757</v>
      </c>
      <c r="J184" s="4" t="s">
        <v>757</v>
      </c>
      <c r="K184" t="s">
        <v>50</v>
      </c>
      <c r="L184" t="s">
        <v>51</v>
      </c>
      <c r="M184" s="4">
        <v>100</v>
      </c>
      <c r="N184" t="s">
        <v>52</v>
      </c>
      <c r="O184" t="s">
        <v>150</v>
      </c>
    </row>
    <row r="185" spans="1:15" x14ac:dyDescent="0.25">
      <c r="A185" t="s">
        <v>26</v>
      </c>
      <c r="B185" t="s">
        <v>144</v>
      </c>
      <c r="C185" t="s">
        <v>144</v>
      </c>
      <c r="D185" t="s">
        <v>797</v>
      </c>
      <c r="E185" t="s">
        <v>798</v>
      </c>
      <c r="F185" s="4" t="s">
        <v>799</v>
      </c>
      <c r="G185" t="s">
        <v>407</v>
      </c>
      <c r="H185" t="s">
        <v>757</v>
      </c>
      <c r="I185" t="s">
        <v>757</v>
      </c>
      <c r="J185" s="4" t="s">
        <v>757</v>
      </c>
      <c r="K185" t="s">
        <v>99</v>
      </c>
      <c r="L185" t="s">
        <v>136</v>
      </c>
      <c r="M185" s="4">
        <v>78</v>
      </c>
      <c r="N185" t="s">
        <v>52</v>
      </c>
      <c r="O185" t="s">
        <v>150</v>
      </c>
    </row>
    <row r="186" spans="1:15" x14ac:dyDescent="0.25">
      <c r="A186" t="s">
        <v>26</v>
      </c>
      <c r="B186" t="s">
        <v>531</v>
      </c>
      <c r="C186" t="s">
        <v>531</v>
      </c>
      <c r="D186" t="s">
        <v>800</v>
      </c>
      <c r="E186" t="s">
        <v>801</v>
      </c>
      <c r="F186" s="5" t="s">
        <v>802</v>
      </c>
      <c r="G186" t="s">
        <v>123</v>
      </c>
      <c r="H186" t="s">
        <v>757</v>
      </c>
      <c r="I186" t="s">
        <v>757</v>
      </c>
      <c r="J186" s="4" t="s">
        <v>757</v>
      </c>
      <c r="K186" t="s">
        <v>136</v>
      </c>
      <c r="L186" t="s">
        <v>51</v>
      </c>
      <c r="M186" s="4">
        <v>40</v>
      </c>
      <c r="N186" t="s">
        <v>113</v>
      </c>
      <c r="O186" t="s">
        <v>27</v>
      </c>
    </row>
    <row r="187" spans="1:15" x14ac:dyDescent="0.25">
      <c r="A187" t="s">
        <v>26</v>
      </c>
      <c r="B187" t="s">
        <v>803</v>
      </c>
      <c r="C187" t="s">
        <v>803</v>
      </c>
      <c r="D187" t="s">
        <v>804</v>
      </c>
      <c r="E187" t="s">
        <v>805</v>
      </c>
      <c r="F187" s="5" t="s">
        <v>806</v>
      </c>
      <c r="G187" t="s">
        <v>83</v>
      </c>
      <c r="H187" t="s">
        <v>757</v>
      </c>
      <c r="I187" t="s">
        <v>757</v>
      </c>
      <c r="J187" s="4" t="s">
        <v>757</v>
      </c>
      <c r="K187" t="s">
        <v>136</v>
      </c>
      <c r="L187" t="s">
        <v>51</v>
      </c>
      <c r="M187" s="4" t="s">
        <v>807</v>
      </c>
      <c r="N187" t="s">
        <v>52</v>
      </c>
      <c r="O187" t="s">
        <v>27</v>
      </c>
    </row>
    <row r="188" spans="1:15" x14ac:dyDescent="0.25">
      <c r="A188" t="s">
        <v>26</v>
      </c>
      <c r="B188" t="s">
        <v>808</v>
      </c>
      <c r="C188" t="s">
        <v>808</v>
      </c>
      <c r="D188" t="s">
        <v>809</v>
      </c>
      <c r="E188" t="s">
        <v>810</v>
      </c>
      <c r="F188" s="4">
        <v>35603</v>
      </c>
      <c r="G188" t="s">
        <v>811</v>
      </c>
      <c r="H188" t="s">
        <v>757</v>
      </c>
      <c r="I188" t="s">
        <v>757</v>
      </c>
      <c r="J188" s="4" t="s">
        <v>757</v>
      </c>
      <c r="K188" t="s">
        <v>93</v>
      </c>
      <c r="L188" t="s">
        <v>51</v>
      </c>
      <c r="M188" s="4">
        <v>150</v>
      </c>
      <c r="N188" t="s">
        <v>52</v>
      </c>
      <c r="O188" t="s">
        <v>27</v>
      </c>
    </row>
    <row r="189" spans="1:15" x14ac:dyDescent="0.25">
      <c r="A189" t="s">
        <v>26</v>
      </c>
      <c r="B189" t="s">
        <v>812</v>
      </c>
      <c r="C189" t="s">
        <v>812</v>
      </c>
      <c r="D189" t="s">
        <v>813</v>
      </c>
      <c r="E189" t="s">
        <v>814</v>
      </c>
      <c r="F189" s="5" t="s">
        <v>815</v>
      </c>
      <c r="G189" t="s">
        <v>170</v>
      </c>
      <c r="H189" t="s">
        <v>757</v>
      </c>
      <c r="I189" t="s">
        <v>757</v>
      </c>
      <c r="J189" s="4" t="s">
        <v>757</v>
      </c>
      <c r="K189" t="s">
        <v>50</v>
      </c>
      <c r="L189" t="s">
        <v>71</v>
      </c>
      <c r="M189" s="4">
        <v>0</v>
      </c>
      <c r="N189" t="s">
        <v>52</v>
      </c>
      <c r="O189" t="s">
        <v>27</v>
      </c>
    </row>
    <row r="190" spans="1:15" x14ac:dyDescent="0.25">
      <c r="A190" t="s">
        <v>26</v>
      </c>
      <c r="B190" t="s">
        <v>816</v>
      </c>
      <c r="C190" t="s">
        <v>816</v>
      </c>
      <c r="D190" t="s">
        <v>817</v>
      </c>
      <c r="E190" t="s">
        <v>818</v>
      </c>
      <c r="F190" s="4">
        <v>26261</v>
      </c>
      <c r="G190" t="s">
        <v>819</v>
      </c>
      <c r="H190" t="s">
        <v>757</v>
      </c>
      <c r="I190" t="s">
        <v>757</v>
      </c>
      <c r="J190" s="4" t="s">
        <v>757</v>
      </c>
      <c r="K190" t="s">
        <v>50</v>
      </c>
      <c r="L190" t="s">
        <v>59</v>
      </c>
      <c r="M190" s="4" t="s">
        <v>820</v>
      </c>
      <c r="N190" t="s">
        <v>52</v>
      </c>
      <c r="O190" t="s">
        <v>27</v>
      </c>
    </row>
    <row r="191" spans="1:15" x14ac:dyDescent="0.25">
      <c r="A191" t="s">
        <v>26</v>
      </c>
      <c r="B191" t="s">
        <v>105</v>
      </c>
      <c r="C191" t="s">
        <v>105</v>
      </c>
      <c r="D191" t="s">
        <v>821</v>
      </c>
      <c r="E191" t="s">
        <v>822</v>
      </c>
      <c r="F191" s="4">
        <v>13021</v>
      </c>
      <c r="G191" t="s">
        <v>76</v>
      </c>
      <c r="H191" t="s">
        <v>757</v>
      </c>
      <c r="I191" t="s">
        <v>757</v>
      </c>
      <c r="J191" s="4" t="s">
        <v>757</v>
      </c>
      <c r="K191" t="s">
        <v>156</v>
      </c>
      <c r="L191" t="s">
        <v>51</v>
      </c>
      <c r="M191" s="4">
        <v>14</v>
      </c>
      <c r="N191" t="s">
        <v>52</v>
      </c>
      <c r="O191" t="s">
        <v>27</v>
      </c>
    </row>
    <row r="192" spans="1:15" x14ac:dyDescent="0.25">
      <c r="A192" t="s">
        <v>26</v>
      </c>
      <c r="B192" t="s">
        <v>823</v>
      </c>
      <c r="C192" t="s">
        <v>823</v>
      </c>
      <c r="D192" t="s">
        <v>824</v>
      </c>
      <c r="E192" t="s">
        <v>825</v>
      </c>
      <c r="F192" s="4">
        <v>13856</v>
      </c>
      <c r="G192" t="s">
        <v>76</v>
      </c>
      <c r="H192" t="s">
        <v>757</v>
      </c>
      <c r="I192" t="s">
        <v>757</v>
      </c>
      <c r="J192" s="4" t="s">
        <v>757</v>
      </c>
      <c r="K192" t="s">
        <v>156</v>
      </c>
      <c r="L192" t="s">
        <v>51</v>
      </c>
      <c r="M192" s="4">
        <v>28</v>
      </c>
      <c r="N192" t="s">
        <v>52</v>
      </c>
      <c r="O192" t="s">
        <v>27</v>
      </c>
    </row>
    <row r="193" spans="1:15" x14ac:dyDescent="0.25">
      <c r="A193" t="s">
        <v>26</v>
      </c>
      <c r="B193" t="s">
        <v>826</v>
      </c>
      <c r="C193" t="s">
        <v>826</v>
      </c>
      <c r="D193" t="s">
        <v>827</v>
      </c>
      <c r="E193" t="s">
        <v>828</v>
      </c>
      <c r="F193" s="4" t="str">
        <f>"14225-1364"</f>
        <v>14225-1364</v>
      </c>
      <c r="G193" t="s">
        <v>76</v>
      </c>
      <c r="H193" t="s">
        <v>757</v>
      </c>
      <c r="I193" t="s">
        <v>757</v>
      </c>
      <c r="J193" s="4" t="s">
        <v>757</v>
      </c>
      <c r="K193" t="s">
        <v>136</v>
      </c>
      <c r="L193" t="s">
        <v>51</v>
      </c>
      <c r="M193" s="4" t="s">
        <v>829</v>
      </c>
      <c r="N193" t="s">
        <v>113</v>
      </c>
      <c r="O193" t="s">
        <v>27</v>
      </c>
    </row>
    <row r="194" spans="1:15" x14ac:dyDescent="0.25">
      <c r="A194" t="s">
        <v>26</v>
      </c>
      <c r="B194" t="s">
        <v>830</v>
      </c>
      <c r="C194" t="s">
        <v>830</v>
      </c>
      <c r="D194" t="s">
        <v>831</v>
      </c>
      <c r="E194" t="s">
        <v>832</v>
      </c>
      <c r="F194" s="4">
        <v>14454</v>
      </c>
      <c r="G194" t="s">
        <v>76</v>
      </c>
      <c r="H194" t="s">
        <v>757</v>
      </c>
      <c r="I194" t="s">
        <v>757</v>
      </c>
      <c r="J194" s="4" t="s">
        <v>757</v>
      </c>
      <c r="K194" t="s">
        <v>136</v>
      </c>
      <c r="L194" t="s">
        <v>51</v>
      </c>
      <c r="M194" s="4">
        <v>200</v>
      </c>
      <c r="N194" t="s">
        <v>52</v>
      </c>
      <c r="O194" t="s">
        <v>27</v>
      </c>
    </row>
    <row r="195" spans="1:15" x14ac:dyDescent="0.25">
      <c r="A195" t="s">
        <v>26</v>
      </c>
      <c r="B195" t="s">
        <v>105</v>
      </c>
      <c r="C195" t="s">
        <v>105</v>
      </c>
      <c r="D195" t="s">
        <v>833</v>
      </c>
      <c r="E195" t="s">
        <v>834</v>
      </c>
      <c r="F195" s="4">
        <v>14817</v>
      </c>
      <c r="G195" t="s">
        <v>76</v>
      </c>
      <c r="H195" t="s">
        <v>757</v>
      </c>
      <c r="I195" t="s">
        <v>757</v>
      </c>
      <c r="J195" s="4" t="s">
        <v>757</v>
      </c>
      <c r="K195" t="s">
        <v>88</v>
      </c>
      <c r="L195" t="s">
        <v>51</v>
      </c>
      <c r="M195" s="4">
        <v>120</v>
      </c>
      <c r="N195" t="s">
        <v>52</v>
      </c>
      <c r="O195" t="s">
        <v>27</v>
      </c>
    </row>
    <row r="196" spans="1:15" x14ac:dyDescent="0.25">
      <c r="A196" t="s">
        <v>26</v>
      </c>
      <c r="B196" t="s">
        <v>835</v>
      </c>
      <c r="C196" t="s">
        <v>835</v>
      </c>
      <c r="D196" t="s">
        <v>836</v>
      </c>
      <c r="E196" t="s">
        <v>837</v>
      </c>
      <c r="F196" s="4">
        <v>55109</v>
      </c>
      <c r="G196" t="s">
        <v>348</v>
      </c>
      <c r="H196" t="s">
        <v>757</v>
      </c>
      <c r="I196" t="s">
        <v>757</v>
      </c>
      <c r="J196" s="4" t="s">
        <v>757</v>
      </c>
      <c r="K196" t="s">
        <v>88</v>
      </c>
      <c r="L196" t="s">
        <v>136</v>
      </c>
      <c r="M196" s="4">
        <v>400</v>
      </c>
      <c r="N196" t="s">
        <v>52</v>
      </c>
      <c r="O196" t="s">
        <v>27</v>
      </c>
    </row>
    <row r="197" spans="1:15" x14ac:dyDescent="0.25">
      <c r="A197" t="s">
        <v>26</v>
      </c>
      <c r="B197" t="s">
        <v>838</v>
      </c>
      <c r="C197" t="s">
        <v>838</v>
      </c>
      <c r="D197" t="s">
        <v>296</v>
      </c>
      <c r="E197" t="s">
        <v>839</v>
      </c>
      <c r="F197" s="4" t="str">
        <f>"14437-9570"</f>
        <v>14437-9570</v>
      </c>
      <c r="G197" t="s">
        <v>76</v>
      </c>
      <c r="H197" t="s">
        <v>757</v>
      </c>
      <c r="I197" t="s">
        <v>757</v>
      </c>
      <c r="J197" s="4" t="s">
        <v>757</v>
      </c>
      <c r="K197" t="s">
        <v>88</v>
      </c>
      <c r="L197" t="s">
        <v>51</v>
      </c>
      <c r="M197" s="4">
        <v>750</v>
      </c>
      <c r="N197" t="s">
        <v>113</v>
      </c>
      <c r="O197" t="s">
        <v>27</v>
      </c>
    </row>
    <row r="198" spans="1:15" x14ac:dyDescent="0.25">
      <c r="A198" t="s">
        <v>26</v>
      </c>
      <c r="B198" t="s">
        <v>840</v>
      </c>
      <c r="C198" t="s">
        <v>840</v>
      </c>
      <c r="D198" t="s">
        <v>841</v>
      </c>
      <c r="E198" t="s">
        <v>842</v>
      </c>
      <c r="F198" s="4">
        <v>10983</v>
      </c>
      <c r="G198" t="s">
        <v>76</v>
      </c>
      <c r="H198" t="s">
        <v>757</v>
      </c>
      <c r="I198" t="s">
        <v>757</v>
      </c>
      <c r="J198" s="4" t="s">
        <v>757</v>
      </c>
      <c r="K198" t="s">
        <v>88</v>
      </c>
      <c r="L198" t="s">
        <v>51</v>
      </c>
      <c r="M198" s="4">
        <v>35</v>
      </c>
      <c r="N198" t="s">
        <v>113</v>
      </c>
      <c r="O198" t="s">
        <v>27</v>
      </c>
    </row>
    <row r="199" spans="1:15" x14ac:dyDescent="0.25">
      <c r="A199" t="s">
        <v>26</v>
      </c>
      <c r="B199" t="s">
        <v>689</v>
      </c>
      <c r="C199" t="s">
        <v>689</v>
      </c>
      <c r="D199" t="s">
        <v>843</v>
      </c>
      <c r="E199" t="s">
        <v>844</v>
      </c>
      <c r="F199" s="4">
        <v>12035</v>
      </c>
      <c r="G199" t="s">
        <v>76</v>
      </c>
      <c r="H199" t="s">
        <v>757</v>
      </c>
      <c r="I199" t="s">
        <v>757</v>
      </c>
      <c r="J199" s="4" t="s">
        <v>757</v>
      </c>
      <c r="K199" t="s">
        <v>93</v>
      </c>
      <c r="L199" t="s">
        <v>51</v>
      </c>
      <c r="M199" s="4">
        <v>214</v>
      </c>
      <c r="N199" t="s">
        <v>113</v>
      </c>
      <c r="O199" t="s">
        <v>27</v>
      </c>
    </row>
    <row r="200" spans="1:15" x14ac:dyDescent="0.25">
      <c r="A200" t="s">
        <v>26</v>
      </c>
      <c r="B200" t="s">
        <v>845</v>
      </c>
      <c r="C200" t="s">
        <v>845</v>
      </c>
      <c r="D200" t="s">
        <v>293</v>
      </c>
      <c r="E200" t="s">
        <v>846</v>
      </c>
      <c r="F200" s="4">
        <v>68361</v>
      </c>
      <c r="G200" t="s">
        <v>847</v>
      </c>
      <c r="H200" t="s">
        <v>757</v>
      </c>
      <c r="I200" t="s">
        <v>757</v>
      </c>
      <c r="J200" s="4" t="s">
        <v>757</v>
      </c>
      <c r="K200" t="s">
        <v>93</v>
      </c>
      <c r="L200" t="s">
        <v>103</v>
      </c>
      <c r="M200" s="4">
        <v>50</v>
      </c>
      <c r="N200" t="s">
        <v>52</v>
      </c>
      <c r="O200" t="s">
        <v>27</v>
      </c>
    </row>
    <row r="201" spans="1:15" x14ac:dyDescent="0.25">
      <c r="A201" t="s">
        <v>26</v>
      </c>
      <c r="B201" t="s">
        <v>724</v>
      </c>
      <c r="C201" t="s">
        <v>724</v>
      </c>
      <c r="D201" t="s">
        <v>848</v>
      </c>
      <c r="E201" t="s">
        <v>849</v>
      </c>
      <c r="F201" s="4">
        <v>12401</v>
      </c>
      <c r="G201" t="s">
        <v>76</v>
      </c>
      <c r="H201" t="s">
        <v>757</v>
      </c>
      <c r="I201" t="s">
        <v>757</v>
      </c>
      <c r="J201" s="4" t="s">
        <v>757</v>
      </c>
      <c r="K201" t="s">
        <v>99</v>
      </c>
      <c r="L201" t="s">
        <v>51</v>
      </c>
      <c r="M201" s="4">
        <v>1</v>
      </c>
      <c r="N201" t="s">
        <v>113</v>
      </c>
      <c r="O201" t="s">
        <v>27</v>
      </c>
    </row>
    <row r="202" spans="1:15" x14ac:dyDescent="0.25">
      <c r="A202" t="s">
        <v>26</v>
      </c>
      <c r="B202" t="s">
        <v>850</v>
      </c>
      <c r="C202" t="s">
        <v>850</v>
      </c>
      <c r="D202" t="s">
        <v>185</v>
      </c>
      <c r="E202" t="s">
        <v>851</v>
      </c>
      <c r="F202" s="4">
        <v>13068</v>
      </c>
      <c r="G202" t="s">
        <v>76</v>
      </c>
      <c r="H202" t="s">
        <v>757</v>
      </c>
      <c r="I202" t="s">
        <v>757</v>
      </c>
      <c r="J202" s="4" t="s">
        <v>757</v>
      </c>
      <c r="K202" t="s">
        <v>88</v>
      </c>
      <c r="L202" t="s">
        <v>51</v>
      </c>
      <c r="M202" s="4">
        <v>197</v>
      </c>
      <c r="N202" t="s">
        <v>52</v>
      </c>
      <c r="O202" t="s">
        <v>27</v>
      </c>
    </row>
    <row r="203" spans="1:15" x14ac:dyDescent="0.25">
      <c r="A203" t="s">
        <v>26</v>
      </c>
      <c r="B203" t="s">
        <v>758</v>
      </c>
      <c r="C203" t="s">
        <v>758</v>
      </c>
      <c r="D203" t="s">
        <v>852</v>
      </c>
      <c r="E203" t="s">
        <v>853</v>
      </c>
      <c r="F203" s="4">
        <v>14891</v>
      </c>
      <c r="G203" t="s">
        <v>76</v>
      </c>
      <c r="H203" t="s">
        <v>757</v>
      </c>
      <c r="I203" t="s">
        <v>757</v>
      </c>
      <c r="J203" s="4" t="s">
        <v>757</v>
      </c>
      <c r="K203" t="s">
        <v>50</v>
      </c>
      <c r="L203" t="s">
        <v>51</v>
      </c>
      <c r="M203" s="4">
        <v>10000</v>
      </c>
      <c r="N203" t="s">
        <v>52</v>
      </c>
      <c r="O203" t="s">
        <v>27</v>
      </c>
    </row>
    <row r="204" spans="1:15" x14ac:dyDescent="0.25">
      <c r="A204" t="s">
        <v>26</v>
      </c>
      <c r="B204" t="s">
        <v>79</v>
      </c>
      <c r="C204" t="s">
        <v>79</v>
      </c>
      <c r="D204" t="s">
        <v>854</v>
      </c>
      <c r="E204" t="s">
        <v>855</v>
      </c>
      <c r="F204" s="5" t="s">
        <v>856</v>
      </c>
      <c r="G204" t="s">
        <v>58</v>
      </c>
      <c r="H204" t="s">
        <v>757</v>
      </c>
      <c r="I204" t="s">
        <v>757</v>
      </c>
      <c r="J204" s="4" t="s">
        <v>757</v>
      </c>
      <c r="K204" t="s">
        <v>77</v>
      </c>
      <c r="L204" t="s">
        <v>103</v>
      </c>
      <c r="M204" s="4">
        <v>1000</v>
      </c>
      <c r="N204" t="s">
        <v>52</v>
      </c>
      <c r="O204" t="s">
        <v>27</v>
      </c>
    </row>
    <row r="205" spans="1:15" x14ac:dyDescent="0.25">
      <c r="A205" t="s">
        <v>26</v>
      </c>
      <c r="B205" t="s">
        <v>391</v>
      </c>
      <c r="C205" t="s">
        <v>391</v>
      </c>
      <c r="D205" t="s">
        <v>857</v>
      </c>
      <c r="E205" t="s">
        <v>858</v>
      </c>
      <c r="F205" s="4">
        <v>54891</v>
      </c>
      <c r="G205" t="s">
        <v>324</v>
      </c>
      <c r="H205" t="s">
        <v>757</v>
      </c>
      <c r="I205" t="s">
        <v>757</v>
      </c>
      <c r="J205" s="4" t="s">
        <v>757</v>
      </c>
      <c r="K205" t="s">
        <v>50</v>
      </c>
      <c r="L205" t="s">
        <v>51</v>
      </c>
      <c r="M205" s="4">
        <v>10000</v>
      </c>
      <c r="N205" t="s">
        <v>52</v>
      </c>
      <c r="O205" t="s">
        <v>27</v>
      </c>
    </row>
    <row r="206" spans="1:15" x14ac:dyDescent="0.25">
      <c r="A206" t="s">
        <v>26</v>
      </c>
      <c r="B206" t="s">
        <v>859</v>
      </c>
      <c r="C206" t="s">
        <v>859</v>
      </c>
      <c r="D206" t="s">
        <v>860</v>
      </c>
      <c r="E206" t="s">
        <v>861</v>
      </c>
      <c r="F206" s="4">
        <v>12919</v>
      </c>
      <c r="G206" t="s">
        <v>76</v>
      </c>
      <c r="H206" t="s">
        <v>757</v>
      </c>
      <c r="I206" t="s">
        <v>757</v>
      </c>
      <c r="J206" s="4" t="s">
        <v>757</v>
      </c>
      <c r="K206" t="s">
        <v>88</v>
      </c>
      <c r="L206" t="s">
        <v>216</v>
      </c>
      <c r="M206" s="4">
        <v>22</v>
      </c>
      <c r="N206" t="s">
        <v>52</v>
      </c>
      <c r="O206" t="s">
        <v>27</v>
      </c>
    </row>
    <row r="207" spans="1:15" x14ac:dyDescent="0.25">
      <c r="A207" t="s">
        <v>26</v>
      </c>
      <c r="B207" t="s">
        <v>548</v>
      </c>
      <c r="C207" t="s">
        <v>548</v>
      </c>
      <c r="D207" t="s">
        <v>862</v>
      </c>
      <c r="E207" t="s">
        <v>863</v>
      </c>
      <c r="F207" s="5" t="s">
        <v>864</v>
      </c>
      <c r="G207" t="s">
        <v>176</v>
      </c>
      <c r="H207" t="s">
        <v>757</v>
      </c>
      <c r="I207" t="s">
        <v>757</v>
      </c>
      <c r="J207" s="4" t="s">
        <v>757</v>
      </c>
      <c r="K207" t="s">
        <v>225</v>
      </c>
      <c r="L207" t="s">
        <v>300</v>
      </c>
      <c r="M207" s="4">
        <v>200</v>
      </c>
      <c r="N207" t="s">
        <v>113</v>
      </c>
      <c r="O207" t="s">
        <v>27</v>
      </c>
    </row>
    <row r="208" spans="1:15" x14ac:dyDescent="0.25">
      <c r="A208" t="s">
        <v>26</v>
      </c>
      <c r="B208" t="s">
        <v>865</v>
      </c>
      <c r="C208" t="s">
        <v>865</v>
      </c>
      <c r="D208" t="s">
        <v>866</v>
      </c>
      <c r="E208" t="s">
        <v>867</v>
      </c>
      <c r="F208" s="4" t="s">
        <v>869</v>
      </c>
      <c r="G208" t="s">
        <v>136</v>
      </c>
      <c r="H208" t="s">
        <v>757</v>
      </c>
      <c r="I208" t="s">
        <v>757</v>
      </c>
      <c r="J208" s="4" t="s">
        <v>757</v>
      </c>
      <c r="K208" t="s">
        <v>177</v>
      </c>
      <c r="L208" t="s">
        <v>136</v>
      </c>
      <c r="M208" s="4">
        <v>40</v>
      </c>
      <c r="N208" t="s">
        <v>113</v>
      </c>
      <c r="O208" t="s">
        <v>870</v>
      </c>
    </row>
    <row r="209" spans="1:15" x14ac:dyDescent="0.25">
      <c r="A209" t="s">
        <v>26</v>
      </c>
      <c r="B209" t="s">
        <v>871</v>
      </c>
      <c r="C209" t="s">
        <v>871</v>
      </c>
      <c r="D209" t="s">
        <v>872</v>
      </c>
      <c r="E209" t="s">
        <v>873</v>
      </c>
      <c r="F209" s="4">
        <v>12414</v>
      </c>
      <c r="G209" t="s">
        <v>76</v>
      </c>
      <c r="H209" t="s">
        <v>757</v>
      </c>
      <c r="I209" t="s">
        <v>757</v>
      </c>
      <c r="J209" s="4" t="s">
        <v>757</v>
      </c>
      <c r="K209" t="s">
        <v>50</v>
      </c>
      <c r="L209" t="s">
        <v>51</v>
      </c>
      <c r="M209" s="4">
        <v>200</v>
      </c>
      <c r="N209" t="s">
        <v>113</v>
      </c>
      <c r="O209" t="s">
        <v>27</v>
      </c>
    </row>
    <row r="210" spans="1:15" x14ac:dyDescent="0.25">
      <c r="A210" t="s">
        <v>26</v>
      </c>
      <c r="B210" t="s">
        <v>874</v>
      </c>
      <c r="C210" t="s">
        <v>874</v>
      </c>
      <c r="D210" t="s">
        <v>875</v>
      </c>
      <c r="E210" t="s">
        <v>876</v>
      </c>
      <c r="F210" s="5" t="s">
        <v>878</v>
      </c>
      <c r="G210" t="s">
        <v>136</v>
      </c>
      <c r="H210" t="s">
        <v>757</v>
      </c>
      <c r="I210" t="s">
        <v>757</v>
      </c>
      <c r="J210" s="4" t="s">
        <v>757</v>
      </c>
      <c r="K210" t="s">
        <v>88</v>
      </c>
      <c r="L210" t="s">
        <v>51</v>
      </c>
      <c r="M210" s="4" t="s">
        <v>879</v>
      </c>
      <c r="N210" t="s">
        <v>468</v>
      </c>
      <c r="O210" t="s">
        <v>880</v>
      </c>
    </row>
    <row r="211" spans="1:15" x14ac:dyDescent="0.25">
      <c r="A211" t="s">
        <v>26</v>
      </c>
      <c r="B211" t="s">
        <v>881</v>
      </c>
      <c r="C211" t="s">
        <v>881</v>
      </c>
      <c r="D211" t="s">
        <v>882</v>
      </c>
      <c r="E211" t="s">
        <v>883</v>
      </c>
      <c r="F211" s="4">
        <v>53717</v>
      </c>
      <c r="G211" t="s">
        <v>324</v>
      </c>
      <c r="H211" t="s">
        <v>757</v>
      </c>
      <c r="I211" t="s">
        <v>757</v>
      </c>
      <c r="J211" s="4" t="s">
        <v>757</v>
      </c>
      <c r="K211" t="s">
        <v>77</v>
      </c>
      <c r="L211" t="s">
        <v>51</v>
      </c>
      <c r="M211" s="4">
        <v>0</v>
      </c>
      <c r="N211" t="s">
        <v>468</v>
      </c>
      <c r="O211" t="s">
        <v>27</v>
      </c>
    </row>
    <row r="212" spans="1:15" x14ac:dyDescent="0.25">
      <c r="A212" t="s">
        <v>26</v>
      </c>
      <c r="B212" t="s">
        <v>884</v>
      </c>
      <c r="C212" t="s">
        <v>884</v>
      </c>
      <c r="D212" t="s">
        <v>885</v>
      </c>
      <c r="E212" t="s">
        <v>886</v>
      </c>
      <c r="F212" s="4">
        <v>12525</v>
      </c>
      <c r="G212" t="s">
        <v>76</v>
      </c>
      <c r="H212" t="s">
        <v>757</v>
      </c>
      <c r="I212" t="s">
        <v>757</v>
      </c>
      <c r="J212" s="4" t="s">
        <v>757</v>
      </c>
      <c r="K212" t="s">
        <v>136</v>
      </c>
      <c r="L212" t="s">
        <v>51</v>
      </c>
      <c r="M212" s="4">
        <v>0</v>
      </c>
      <c r="N212" t="s">
        <v>113</v>
      </c>
      <c r="O212" t="s">
        <v>27</v>
      </c>
    </row>
    <row r="213" spans="1:15" x14ac:dyDescent="0.25">
      <c r="A213" t="s">
        <v>26</v>
      </c>
      <c r="B213" t="s">
        <v>887</v>
      </c>
      <c r="C213" t="s">
        <v>887</v>
      </c>
      <c r="D213" t="s">
        <v>888</v>
      </c>
      <c r="E213" t="s">
        <v>889</v>
      </c>
      <c r="F213" s="4" t="s">
        <v>890</v>
      </c>
      <c r="G213" t="s">
        <v>365</v>
      </c>
      <c r="H213" t="s">
        <v>757</v>
      </c>
      <c r="I213" t="s">
        <v>757</v>
      </c>
      <c r="J213" s="4" t="s">
        <v>757</v>
      </c>
      <c r="K213" t="s">
        <v>77</v>
      </c>
      <c r="L213" t="s">
        <v>51</v>
      </c>
      <c r="M213" s="4">
        <v>0</v>
      </c>
      <c r="N213" t="s">
        <v>113</v>
      </c>
      <c r="O213" t="s">
        <v>150</v>
      </c>
    </row>
    <row r="214" spans="1:15" x14ac:dyDescent="0.25">
      <c r="A214" t="s">
        <v>26</v>
      </c>
      <c r="B214" t="s">
        <v>891</v>
      </c>
      <c r="C214" t="s">
        <v>891</v>
      </c>
      <c r="D214" t="s">
        <v>892</v>
      </c>
      <c r="E214" t="s">
        <v>893</v>
      </c>
      <c r="F214" s="4">
        <v>54481</v>
      </c>
      <c r="G214" t="s">
        <v>324</v>
      </c>
      <c r="H214" t="s">
        <v>757</v>
      </c>
      <c r="I214" t="s">
        <v>757</v>
      </c>
      <c r="J214" s="4" t="s">
        <v>757</v>
      </c>
      <c r="K214" t="s">
        <v>177</v>
      </c>
      <c r="L214" t="s">
        <v>51</v>
      </c>
      <c r="M214" s="4">
        <v>55</v>
      </c>
      <c r="N214" t="s">
        <v>113</v>
      </c>
      <c r="O214" t="s">
        <v>27</v>
      </c>
    </row>
    <row r="215" spans="1:15" x14ac:dyDescent="0.25">
      <c r="A215" t="s">
        <v>26</v>
      </c>
      <c r="B215" t="s">
        <v>152</v>
      </c>
      <c r="C215" t="s">
        <v>152</v>
      </c>
      <c r="D215" t="s">
        <v>894</v>
      </c>
      <c r="E215" t="s">
        <v>895</v>
      </c>
      <c r="F215" s="4">
        <v>32060</v>
      </c>
      <c r="G215" t="s">
        <v>896</v>
      </c>
      <c r="H215" t="s">
        <v>757</v>
      </c>
      <c r="I215" t="s">
        <v>757</v>
      </c>
      <c r="J215" s="4" t="s">
        <v>757</v>
      </c>
      <c r="K215" t="s">
        <v>93</v>
      </c>
      <c r="L215" t="s">
        <v>51</v>
      </c>
      <c r="M215" s="4">
        <v>300</v>
      </c>
      <c r="N215" t="s">
        <v>113</v>
      </c>
      <c r="O215" t="s">
        <v>27</v>
      </c>
    </row>
    <row r="216" spans="1:15" x14ac:dyDescent="0.25">
      <c r="A216" t="s">
        <v>26</v>
      </c>
      <c r="B216" t="s">
        <v>897</v>
      </c>
      <c r="C216" t="s">
        <v>897</v>
      </c>
      <c r="D216" t="s">
        <v>898</v>
      </c>
      <c r="E216" t="s">
        <v>899</v>
      </c>
      <c r="F216" s="4">
        <v>16406</v>
      </c>
      <c r="G216" t="s">
        <v>165</v>
      </c>
      <c r="H216" t="s">
        <v>757</v>
      </c>
      <c r="I216" t="s">
        <v>757</v>
      </c>
      <c r="J216" s="4" t="s">
        <v>757</v>
      </c>
      <c r="K216" t="s">
        <v>156</v>
      </c>
      <c r="L216" t="s">
        <v>51</v>
      </c>
      <c r="M216" s="4">
        <v>16</v>
      </c>
      <c r="N216" t="s">
        <v>113</v>
      </c>
      <c r="O216" t="s">
        <v>27</v>
      </c>
    </row>
    <row r="217" spans="1:15" x14ac:dyDescent="0.25">
      <c r="A217" t="s">
        <v>26</v>
      </c>
      <c r="B217" t="s">
        <v>900</v>
      </c>
      <c r="C217" t="s">
        <v>900</v>
      </c>
      <c r="D217" t="s">
        <v>901</v>
      </c>
      <c r="E217" t="s">
        <v>902</v>
      </c>
      <c r="F217" s="4">
        <v>12405</v>
      </c>
      <c r="G217" t="s">
        <v>76</v>
      </c>
      <c r="H217" t="s">
        <v>757</v>
      </c>
      <c r="I217" t="s">
        <v>757</v>
      </c>
      <c r="J217" s="4" t="s">
        <v>757</v>
      </c>
      <c r="K217" t="s">
        <v>99</v>
      </c>
      <c r="L217" t="s">
        <v>51</v>
      </c>
      <c r="M217" s="4" t="s">
        <v>903</v>
      </c>
      <c r="N217" t="s">
        <v>113</v>
      </c>
      <c r="O217" t="s">
        <v>27</v>
      </c>
    </row>
    <row r="218" spans="1:15" x14ac:dyDescent="0.25">
      <c r="A218" t="s">
        <v>26</v>
      </c>
      <c r="B218" t="s">
        <v>904</v>
      </c>
      <c r="C218" t="s">
        <v>904</v>
      </c>
      <c r="D218" t="s">
        <v>905</v>
      </c>
      <c r="E218" t="s">
        <v>906</v>
      </c>
      <c r="F218" s="4">
        <v>20850</v>
      </c>
      <c r="G218" t="s">
        <v>64</v>
      </c>
      <c r="H218" t="s">
        <v>757</v>
      </c>
      <c r="I218" t="s">
        <v>757</v>
      </c>
      <c r="J218" s="4" t="s">
        <v>757</v>
      </c>
      <c r="K218" t="s">
        <v>177</v>
      </c>
      <c r="L218" t="s">
        <v>51</v>
      </c>
      <c r="M218" s="4">
        <v>30000</v>
      </c>
      <c r="N218" t="s">
        <v>52</v>
      </c>
      <c r="O218" t="s">
        <v>27</v>
      </c>
    </row>
    <row r="219" spans="1:15" x14ac:dyDescent="0.25">
      <c r="A219" t="s">
        <v>26</v>
      </c>
      <c r="B219" t="s">
        <v>907</v>
      </c>
      <c r="C219" t="s">
        <v>907</v>
      </c>
      <c r="D219" t="s">
        <v>908</v>
      </c>
      <c r="E219" t="s">
        <v>909</v>
      </c>
      <c r="F219" s="4">
        <v>14085</v>
      </c>
      <c r="G219" t="s">
        <v>76</v>
      </c>
      <c r="H219" t="s">
        <v>757</v>
      </c>
      <c r="I219" t="s">
        <v>757</v>
      </c>
      <c r="J219" s="4" t="s">
        <v>757</v>
      </c>
      <c r="K219" t="s">
        <v>50</v>
      </c>
      <c r="L219" t="s">
        <v>51</v>
      </c>
      <c r="M219" s="4">
        <v>30000</v>
      </c>
      <c r="N219" t="s">
        <v>52</v>
      </c>
      <c r="O219" t="s">
        <v>27</v>
      </c>
    </row>
    <row r="220" spans="1:15" x14ac:dyDescent="0.25">
      <c r="A220" t="s">
        <v>26</v>
      </c>
      <c r="B220" t="s">
        <v>910</v>
      </c>
      <c r="C220" t="s">
        <v>910</v>
      </c>
      <c r="D220" t="s">
        <v>911</v>
      </c>
      <c r="E220" t="s">
        <v>912</v>
      </c>
      <c r="F220" s="4">
        <v>12197</v>
      </c>
      <c r="G220" t="s">
        <v>76</v>
      </c>
      <c r="H220" t="s">
        <v>757</v>
      </c>
      <c r="I220" t="s">
        <v>757</v>
      </c>
      <c r="J220" s="4" t="s">
        <v>757</v>
      </c>
      <c r="K220" t="s">
        <v>50</v>
      </c>
      <c r="L220" t="s">
        <v>103</v>
      </c>
      <c r="M220" s="4">
        <v>964</v>
      </c>
      <c r="N220" t="s">
        <v>468</v>
      </c>
      <c r="O220" t="s">
        <v>27</v>
      </c>
    </row>
    <row r="221" spans="1:15" x14ac:dyDescent="0.25">
      <c r="A221" t="s">
        <v>26</v>
      </c>
      <c r="B221" t="s">
        <v>218</v>
      </c>
      <c r="C221" t="s">
        <v>218</v>
      </c>
      <c r="D221" t="s">
        <v>913</v>
      </c>
      <c r="E221" t="s">
        <v>914</v>
      </c>
      <c r="F221" s="5" t="s">
        <v>915</v>
      </c>
      <c r="G221" t="s">
        <v>70</v>
      </c>
      <c r="H221" t="s">
        <v>757</v>
      </c>
      <c r="I221" t="s">
        <v>757</v>
      </c>
      <c r="J221" s="4" t="s">
        <v>757</v>
      </c>
      <c r="K221" t="s">
        <v>50</v>
      </c>
      <c r="L221" t="s">
        <v>71</v>
      </c>
      <c r="M221" s="4">
        <v>162</v>
      </c>
      <c r="N221" t="s">
        <v>52</v>
      </c>
      <c r="O221" t="s">
        <v>27</v>
      </c>
    </row>
    <row r="222" spans="1:15" x14ac:dyDescent="0.25">
      <c r="A222" t="s">
        <v>26</v>
      </c>
      <c r="B222" t="s">
        <v>916</v>
      </c>
      <c r="C222" t="s">
        <v>916</v>
      </c>
      <c r="D222" t="s">
        <v>917</v>
      </c>
      <c r="E222" t="s">
        <v>918</v>
      </c>
      <c r="F222" s="4">
        <v>14850</v>
      </c>
      <c r="G222" t="s">
        <v>76</v>
      </c>
      <c r="H222" t="s">
        <v>757</v>
      </c>
      <c r="I222" t="s">
        <v>757</v>
      </c>
      <c r="J222" s="4" t="s">
        <v>757</v>
      </c>
      <c r="K222" t="s">
        <v>156</v>
      </c>
      <c r="L222" t="s">
        <v>103</v>
      </c>
      <c r="M222" s="4">
        <v>1</v>
      </c>
      <c r="N222" t="s">
        <v>52</v>
      </c>
      <c r="O222" t="s">
        <v>27</v>
      </c>
    </row>
    <row r="223" spans="1:15" x14ac:dyDescent="0.25">
      <c r="A223" t="s">
        <v>26</v>
      </c>
      <c r="B223" t="s">
        <v>919</v>
      </c>
      <c r="C223" t="s">
        <v>919</v>
      </c>
      <c r="D223" t="s">
        <v>920</v>
      </c>
      <c r="E223" t="s">
        <v>921</v>
      </c>
      <c r="F223" s="4">
        <v>14224</v>
      </c>
      <c r="G223" t="s">
        <v>76</v>
      </c>
      <c r="H223" t="s">
        <v>757</v>
      </c>
      <c r="I223" t="s">
        <v>757</v>
      </c>
      <c r="J223" s="4" t="s">
        <v>757</v>
      </c>
      <c r="K223" t="s">
        <v>99</v>
      </c>
      <c r="L223" t="s">
        <v>216</v>
      </c>
      <c r="M223" s="4">
        <v>6</v>
      </c>
      <c r="N223" t="s">
        <v>52</v>
      </c>
      <c r="O223" t="s">
        <v>27</v>
      </c>
    </row>
    <row r="224" spans="1:15" x14ac:dyDescent="0.25">
      <c r="A224" t="s">
        <v>26</v>
      </c>
      <c r="B224" t="s">
        <v>922</v>
      </c>
      <c r="C224" t="s">
        <v>922</v>
      </c>
      <c r="D224" t="s">
        <v>923</v>
      </c>
      <c r="E224" t="s">
        <v>924</v>
      </c>
      <c r="F224" s="4">
        <v>40353</v>
      </c>
      <c r="G224" t="s">
        <v>478</v>
      </c>
      <c r="H224" t="s">
        <v>757</v>
      </c>
      <c r="I224" t="s">
        <v>757</v>
      </c>
      <c r="J224" s="4" t="s">
        <v>757</v>
      </c>
      <c r="K224" t="s">
        <v>156</v>
      </c>
      <c r="L224" t="s">
        <v>136</v>
      </c>
      <c r="M224" s="4">
        <v>30</v>
      </c>
      <c r="N224" t="s">
        <v>113</v>
      </c>
      <c r="O224" t="s">
        <v>27</v>
      </c>
    </row>
    <row r="225" spans="1:15" x14ac:dyDescent="0.25">
      <c r="A225" t="s">
        <v>26</v>
      </c>
      <c r="B225" t="s">
        <v>925</v>
      </c>
      <c r="C225" t="s">
        <v>925</v>
      </c>
      <c r="D225" t="s">
        <v>926</v>
      </c>
      <c r="E225" t="s">
        <v>927</v>
      </c>
      <c r="F225" s="4">
        <v>41056</v>
      </c>
      <c r="G225" t="s">
        <v>478</v>
      </c>
      <c r="H225" t="s">
        <v>757</v>
      </c>
      <c r="I225" t="s">
        <v>757</v>
      </c>
      <c r="J225" s="4" t="s">
        <v>757</v>
      </c>
      <c r="K225" t="s">
        <v>77</v>
      </c>
      <c r="L225" t="s">
        <v>136</v>
      </c>
      <c r="M225" s="4" t="s">
        <v>928</v>
      </c>
      <c r="N225" t="s">
        <v>113</v>
      </c>
      <c r="O225" t="s">
        <v>27</v>
      </c>
    </row>
    <row r="226" spans="1:15" x14ac:dyDescent="0.25">
      <c r="A226" t="s">
        <v>26</v>
      </c>
      <c r="B226" t="s">
        <v>403</v>
      </c>
      <c r="C226" t="s">
        <v>403</v>
      </c>
      <c r="D226" t="s">
        <v>929</v>
      </c>
      <c r="E226" t="s">
        <v>930</v>
      </c>
      <c r="F226" s="4">
        <v>12561</v>
      </c>
      <c r="G226" t="s">
        <v>76</v>
      </c>
      <c r="H226" t="s">
        <v>757</v>
      </c>
      <c r="I226" t="s">
        <v>757</v>
      </c>
      <c r="J226" s="4" t="s">
        <v>757</v>
      </c>
      <c r="K226" t="s">
        <v>77</v>
      </c>
      <c r="L226" t="s">
        <v>51</v>
      </c>
      <c r="M226" s="4">
        <v>40</v>
      </c>
      <c r="N226" t="s">
        <v>52</v>
      </c>
      <c r="O226" t="s">
        <v>27</v>
      </c>
    </row>
    <row r="227" spans="1:15" x14ac:dyDescent="0.25">
      <c r="A227" t="s">
        <v>26</v>
      </c>
      <c r="B227" t="s">
        <v>484</v>
      </c>
      <c r="C227" t="s">
        <v>484</v>
      </c>
      <c r="D227" t="s">
        <v>931</v>
      </c>
      <c r="E227" t="s">
        <v>932</v>
      </c>
      <c r="F227" s="4">
        <v>14850</v>
      </c>
      <c r="G227" t="s">
        <v>76</v>
      </c>
      <c r="H227" t="s">
        <v>757</v>
      </c>
      <c r="I227" t="s">
        <v>757</v>
      </c>
      <c r="J227" s="4" t="s">
        <v>757</v>
      </c>
      <c r="K227" t="s">
        <v>177</v>
      </c>
      <c r="L227" t="s">
        <v>51</v>
      </c>
      <c r="M227" s="4">
        <v>1</v>
      </c>
      <c r="N227" t="s">
        <v>52</v>
      </c>
      <c r="O227" t="s">
        <v>27</v>
      </c>
    </row>
    <row r="228" spans="1:15" x14ac:dyDescent="0.25">
      <c r="A228" t="s">
        <v>26</v>
      </c>
      <c r="B228" t="s">
        <v>213</v>
      </c>
      <c r="C228" t="s">
        <v>213</v>
      </c>
      <c r="D228" t="s">
        <v>933</v>
      </c>
      <c r="E228" t="s">
        <v>934</v>
      </c>
      <c r="F228" s="4">
        <v>14086</v>
      </c>
      <c r="G228" t="s">
        <v>76</v>
      </c>
      <c r="H228" t="s">
        <v>757</v>
      </c>
      <c r="I228" t="s">
        <v>757</v>
      </c>
      <c r="J228" s="4" t="s">
        <v>757</v>
      </c>
      <c r="K228" t="s">
        <v>136</v>
      </c>
      <c r="L228" t="s">
        <v>216</v>
      </c>
      <c r="M228" s="4">
        <v>0</v>
      </c>
      <c r="N228" t="s">
        <v>52</v>
      </c>
      <c r="O228" t="s">
        <v>27</v>
      </c>
    </row>
    <row r="229" spans="1:15" x14ac:dyDescent="0.25">
      <c r="A229" t="s">
        <v>26</v>
      </c>
      <c r="B229" t="s">
        <v>935</v>
      </c>
      <c r="C229" t="s">
        <v>935</v>
      </c>
      <c r="D229" t="s">
        <v>936</v>
      </c>
      <c r="E229" t="s">
        <v>937</v>
      </c>
      <c r="F229" s="4">
        <v>40475</v>
      </c>
      <c r="G229" t="s">
        <v>478</v>
      </c>
      <c r="H229" t="s">
        <v>757</v>
      </c>
      <c r="I229" t="s">
        <v>757</v>
      </c>
      <c r="J229" s="4" t="s">
        <v>757</v>
      </c>
      <c r="K229" t="s">
        <v>77</v>
      </c>
      <c r="L229" t="s">
        <v>51</v>
      </c>
      <c r="M229" s="4">
        <v>0</v>
      </c>
      <c r="N229" t="s">
        <v>113</v>
      </c>
      <c r="O229" t="s">
        <v>27</v>
      </c>
    </row>
    <row r="230" spans="1:15" x14ac:dyDescent="0.25">
      <c r="A230" t="s">
        <v>26</v>
      </c>
      <c r="B230" t="s">
        <v>938</v>
      </c>
      <c r="C230" t="s">
        <v>938</v>
      </c>
      <c r="D230" t="s">
        <v>939</v>
      </c>
      <c r="E230" t="s">
        <v>940</v>
      </c>
      <c r="F230" s="4">
        <v>17202</v>
      </c>
      <c r="G230" t="s">
        <v>165</v>
      </c>
      <c r="H230" t="s">
        <v>757</v>
      </c>
      <c r="I230" t="s">
        <v>757</v>
      </c>
      <c r="J230" s="4" t="s">
        <v>757</v>
      </c>
      <c r="K230" t="s">
        <v>50</v>
      </c>
      <c r="L230" t="s">
        <v>103</v>
      </c>
      <c r="M230" s="4">
        <v>25</v>
      </c>
      <c r="N230" t="s">
        <v>52</v>
      </c>
      <c r="O230" t="s">
        <v>27</v>
      </c>
    </row>
    <row r="231" spans="1:15" x14ac:dyDescent="0.25">
      <c r="A231" t="s">
        <v>26</v>
      </c>
      <c r="B231" t="s">
        <v>941</v>
      </c>
      <c r="C231" t="s">
        <v>941</v>
      </c>
      <c r="D231" t="s">
        <v>942</v>
      </c>
      <c r="E231" t="s">
        <v>943</v>
      </c>
      <c r="F231" s="4">
        <v>41031</v>
      </c>
      <c r="G231" t="s">
        <v>478</v>
      </c>
      <c r="H231" t="s">
        <v>757</v>
      </c>
      <c r="I231" t="s">
        <v>757</v>
      </c>
      <c r="J231" s="4" t="s">
        <v>757</v>
      </c>
      <c r="K231" t="s">
        <v>77</v>
      </c>
      <c r="L231" t="s">
        <v>51</v>
      </c>
      <c r="M231" s="4">
        <v>27000</v>
      </c>
      <c r="N231" t="s">
        <v>113</v>
      </c>
      <c r="O231" t="s">
        <v>27</v>
      </c>
    </row>
    <row r="232" spans="1:15" x14ac:dyDescent="0.25">
      <c r="A232" t="s">
        <v>26</v>
      </c>
      <c r="B232" t="s">
        <v>944</v>
      </c>
      <c r="C232" t="s">
        <v>944</v>
      </c>
      <c r="D232" t="s">
        <v>945</v>
      </c>
      <c r="E232" t="s">
        <v>946</v>
      </c>
      <c r="F232" s="4">
        <v>14867</v>
      </c>
      <c r="G232" t="s">
        <v>76</v>
      </c>
      <c r="H232" t="s">
        <v>757</v>
      </c>
      <c r="I232" t="s">
        <v>757</v>
      </c>
      <c r="J232" s="4" t="s">
        <v>757</v>
      </c>
      <c r="K232" t="s">
        <v>88</v>
      </c>
      <c r="L232" t="s">
        <v>51</v>
      </c>
      <c r="M232" s="4">
        <v>19</v>
      </c>
      <c r="N232" t="s">
        <v>52</v>
      </c>
      <c r="O232" t="s">
        <v>27</v>
      </c>
    </row>
    <row r="233" spans="1:15" x14ac:dyDescent="0.25">
      <c r="A233" t="s">
        <v>26</v>
      </c>
      <c r="B233" t="s">
        <v>947</v>
      </c>
      <c r="C233" t="s">
        <v>947</v>
      </c>
      <c r="D233" t="s">
        <v>948</v>
      </c>
      <c r="E233" t="s">
        <v>949</v>
      </c>
      <c r="F233" s="4">
        <v>14850</v>
      </c>
      <c r="G233" t="s">
        <v>76</v>
      </c>
      <c r="H233" t="s">
        <v>757</v>
      </c>
      <c r="I233" t="s">
        <v>757</v>
      </c>
      <c r="J233" s="4" t="s">
        <v>757</v>
      </c>
      <c r="K233" t="s">
        <v>156</v>
      </c>
      <c r="L233" t="s">
        <v>51</v>
      </c>
      <c r="M233" s="4">
        <v>0</v>
      </c>
      <c r="N233" t="s">
        <v>468</v>
      </c>
      <c r="O233" t="s">
        <v>27</v>
      </c>
    </row>
  </sheetData>
  <hyperlinks>
    <hyperlink ref="E10" r:id="rId1" xr:uid="{BFAF0B56-1CDC-49B0-9EFF-A7EDDD9864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attendee_629239641_2025_12_17</vt:lpstr>
      <vt:lpstr>full_cleaned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J. Smallidge</dc:creator>
  <cp:lastModifiedBy>Peter J. Smallidge</cp:lastModifiedBy>
  <dcterms:created xsi:type="dcterms:W3CDTF">2025-12-30T17:32:57Z</dcterms:created>
  <dcterms:modified xsi:type="dcterms:W3CDTF">2026-01-02T14:50:01Z</dcterms:modified>
</cp:coreProperties>
</file>